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Manyelesemane\Documents\"/>
    </mc:Choice>
  </mc:AlternateContent>
  <bookViews>
    <workbookView xWindow="0" yWindow="0" windowWidth="15360" windowHeight="7635" activeTab="3"/>
  </bookViews>
  <sheets>
    <sheet name="Cover Page" sheetId="8" r:id="rId1"/>
    <sheet name="Promoter Details" sheetId="1" r:id="rId2"/>
    <sheet name="Assesment" sheetId="7" r:id="rId3"/>
    <sheet name="Financials" sheetId="5" r:id="rId4"/>
    <sheet name="Scorecard" sheetId="6" state="hidden" r:id="rId5"/>
    <sheet name="Result" sheetId="4" r:id="rId6"/>
  </sheets>
  <definedNames>
    <definedName name="_xlnm.Print_Area" localSheetId="2">Assesment!$A$1:$E$39</definedName>
    <definedName name="_xlnm.Print_Area" localSheetId="3">Financials!$A$1:$K$111</definedName>
    <definedName name="_xlnm.Print_Area" localSheetId="1">'Promoter Details'!$A$1:$C$55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9" i="5" l="1"/>
  <c r="C58" i="5" l="1"/>
  <c r="D63" i="5" l="1"/>
  <c r="D54" i="5" l="1"/>
  <c r="D45" i="5"/>
  <c r="D46" i="5"/>
  <c r="D47" i="5"/>
  <c r="D48" i="5"/>
  <c r="D44" i="5"/>
  <c r="C60" i="5" l="1"/>
  <c r="D60" i="5"/>
  <c r="D8" i="5" l="1"/>
  <c r="D55" i="5"/>
  <c r="D56" i="5"/>
  <c r="D57" i="5"/>
  <c r="D58" i="5"/>
  <c r="D59" i="5"/>
  <c r="C55" i="5"/>
  <c r="C56" i="5"/>
  <c r="C57" i="5"/>
  <c r="D53" i="5"/>
  <c r="C53" i="5"/>
  <c r="D17" i="5"/>
  <c r="C7" i="5"/>
  <c r="D7" i="5"/>
  <c r="E71" i="5" l="1"/>
  <c r="E54" i="5"/>
  <c r="E55" i="5"/>
  <c r="E56" i="5"/>
  <c r="E57" i="5"/>
  <c r="E58" i="5"/>
  <c r="E59" i="5"/>
  <c r="E60" i="5"/>
  <c r="E61" i="5"/>
  <c r="E62" i="5"/>
  <c r="E63" i="5"/>
  <c r="E53" i="5"/>
  <c r="E48" i="5"/>
  <c r="E47" i="5"/>
  <c r="E46" i="5"/>
  <c r="E45" i="5"/>
  <c r="E44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8" i="5"/>
  <c r="E7" i="5"/>
  <c r="D67" i="5" l="1"/>
  <c r="D52" i="5"/>
  <c r="D43" i="5"/>
  <c r="D39" i="5"/>
  <c r="D29" i="5"/>
  <c r="D12" i="5"/>
  <c r="C67" i="5"/>
  <c r="B67" i="5"/>
  <c r="C52" i="5"/>
  <c r="B52" i="5"/>
  <c r="C43" i="5"/>
  <c r="B43" i="5"/>
  <c r="C39" i="5"/>
  <c r="B39" i="5"/>
  <c r="C29" i="5"/>
  <c r="B29" i="5"/>
  <c r="C12" i="5"/>
  <c r="B12" i="5"/>
  <c r="F63" i="5" l="1"/>
  <c r="F62" i="5"/>
  <c r="F61" i="5"/>
  <c r="F60" i="5"/>
  <c r="F59" i="5"/>
  <c r="F58" i="5"/>
  <c r="F57" i="5"/>
  <c r="F56" i="5"/>
  <c r="F55" i="5"/>
  <c r="F54" i="5"/>
  <c r="F53" i="5"/>
  <c r="F48" i="5"/>
  <c r="F47" i="5"/>
  <c r="F46" i="5"/>
  <c r="F45" i="5"/>
  <c r="F44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8" i="5"/>
  <c r="F7" i="5"/>
  <c r="B33" i="6" l="1"/>
  <c r="B96" i="5"/>
  <c r="B8" i="6" l="1"/>
  <c r="B7" i="6"/>
  <c r="B6" i="6"/>
  <c r="B5" i="6"/>
  <c r="B23" i="6"/>
  <c r="B22" i="6"/>
  <c r="B21" i="6"/>
  <c r="B20" i="6"/>
  <c r="B16" i="6"/>
  <c r="B15" i="6"/>
  <c r="B14" i="6"/>
  <c r="B13" i="6"/>
  <c r="B12" i="6"/>
  <c r="B4" i="6"/>
  <c r="D86" i="5"/>
  <c r="B86" i="5"/>
  <c r="F9" i="5"/>
  <c r="E9" i="5"/>
  <c r="D9" i="5"/>
  <c r="C9" i="5"/>
  <c r="B9" i="5"/>
  <c r="C15" i="4"/>
  <c r="C43" i="1"/>
  <c r="C49" i="1" s="1"/>
  <c r="C32" i="1" l="1"/>
  <c r="C38" i="1" l="1"/>
  <c r="C36" i="1"/>
  <c r="B34" i="6" l="1"/>
  <c r="C35" i="6"/>
  <c r="C8" i="4" s="1"/>
  <c r="C30" i="6"/>
  <c r="C7" i="4" s="1"/>
  <c r="C24" i="6"/>
  <c r="C6" i="4" s="1"/>
  <c r="C17" i="6"/>
  <c r="C5" i="4" s="1"/>
  <c r="C9" i="6"/>
  <c r="C4" i="4" s="1"/>
  <c r="C9" i="4" l="1"/>
  <c r="D7" i="6"/>
  <c r="D8" i="6"/>
  <c r="D4" i="6"/>
  <c r="D34" i="6"/>
  <c r="D33" i="6"/>
  <c r="D21" i="6"/>
  <c r="D22" i="6"/>
  <c r="D23" i="6"/>
  <c r="D20" i="6"/>
  <c r="D16" i="6"/>
  <c r="D15" i="6"/>
  <c r="D14" i="6"/>
  <c r="D13" i="6"/>
  <c r="D12" i="6"/>
  <c r="D5" i="6"/>
  <c r="D6" i="6"/>
  <c r="D17" i="6" l="1"/>
  <c r="D9" i="6"/>
  <c r="D24" i="6"/>
  <c r="D35" i="6"/>
  <c r="E24" i="6" l="1"/>
  <c r="D6" i="4" s="1"/>
  <c r="E17" i="6"/>
  <c r="D5" i="4" s="1"/>
  <c r="E9" i="6"/>
  <c r="D4" i="4" s="1"/>
  <c r="E35" i="6"/>
  <c r="D8" i="4" s="1"/>
  <c r="F64" i="5"/>
  <c r="E64" i="5"/>
  <c r="D64" i="5"/>
  <c r="D69" i="5" s="1"/>
  <c r="E69" i="5" s="1"/>
  <c r="C64" i="5"/>
  <c r="C69" i="5" s="1"/>
  <c r="B64" i="5"/>
  <c r="B69" i="5" s="1"/>
  <c r="F26" i="5"/>
  <c r="E26" i="5"/>
  <c r="E30" i="5" s="1"/>
  <c r="D26" i="5"/>
  <c r="C26" i="5"/>
  <c r="B26" i="5"/>
  <c r="C13" i="4" l="1"/>
  <c r="B27" i="6"/>
  <c r="D27" i="6" s="1"/>
  <c r="F69" i="5"/>
  <c r="E40" i="5"/>
  <c r="E49" i="5" s="1"/>
  <c r="F30" i="5"/>
  <c r="F40" i="5" s="1"/>
  <c r="F49" i="5" s="1"/>
  <c r="C30" i="5"/>
  <c r="C40" i="5" s="1"/>
  <c r="C49" i="5" s="1"/>
  <c r="C68" i="5" s="1"/>
  <c r="C70" i="5" s="1"/>
  <c r="B30" i="5"/>
  <c r="D30" i="5"/>
  <c r="D40" i="5" s="1"/>
  <c r="D49" i="5" s="1"/>
  <c r="D68" i="5" s="1"/>
  <c r="D70" i="5" l="1"/>
  <c r="E70" i="5" s="1"/>
  <c r="E68" i="5"/>
  <c r="B40" i="5"/>
  <c r="B49" i="5" s="1"/>
  <c r="B68" i="5" s="1"/>
  <c r="B70" i="5" s="1"/>
  <c r="F68" i="5" l="1"/>
  <c r="C48" i="1"/>
  <c r="E72" i="5" s="1"/>
  <c r="E74" i="5" s="1"/>
  <c r="C12" i="4" s="1"/>
  <c r="D12" i="4" s="1"/>
  <c r="B29" i="6" l="1"/>
  <c r="C14" i="4"/>
  <c r="B28" i="6"/>
  <c r="D28" i="6" s="1"/>
  <c r="F70" i="5"/>
  <c r="F71" i="5" s="1"/>
  <c r="F72" i="5"/>
  <c r="D48" i="1"/>
  <c r="E48" i="1"/>
  <c r="F74" i="5" l="1"/>
  <c r="D72" i="5"/>
  <c r="D29" i="6"/>
  <c r="B73" i="5"/>
  <c r="B74" i="5" s="1"/>
  <c r="E73" i="5"/>
  <c r="F73" i="5"/>
  <c r="D13" i="4" s="1"/>
  <c r="D73" i="5" l="1"/>
  <c r="C73" i="5"/>
  <c r="D30" i="6" l="1"/>
  <c r="E30" i="6" s="1"/>
  <c r="D7" i="4" s="1"/>
  <c r="D9" i="4" s="1"/>
</calcChain>
</file>

<file path=xl/sharedStrings.xml><?xml version="1.0" encoding="utf-8"?>
<sst xmlns="http://schemas.openxmlformats.org/spreadsheetml/2006/main" count="382" uniqueCount="245">
  <si>
    <t>Married</t>
  </si>
  <si>
    <t>Separated</t>
  </si>
  <si>
    <t>Divorced</t>
  </si>
  <si>
    <t>Widowed</t>
  </si>
  <si>
    <t>Single</t>
  </si>
  <si>
    <t>Promoter Details</t>
  </si>
  <si>
    <t>1. Applicant Background Info</t>
  </si>
  <si>
    <t>&lt;1 Year</t>
  </si>
  <si>
    <t>1-2 Years</t>
  </si>
  <si>
    <t>&gt;3 Years</t>
  </si>
  <si>
    <t xml:space="preserve">Non </t>
  </si>
  <si>
    <t>PSLE</t>
  </si>
  <si>
    <t>JCE</t>
  </si>
  <si>
    <t>BGCSE, GCE, IGCSE</t>
  </si>
  <si>
    <t>Certificate</t>
  </si>
  <si>
    <t>Diploma</t>
  </si>
  <si>
    <t>Degree</t>
  </si>
  <si>
    <t>Non-Formal Education</t>
  </si>
  <si>
    <t>Others (Specify)</t>
  </si>
  <si>
    <t>1.1 Name of the Applicant</t>
  </si>
  <si>
    <t>1.2 Name of the Group</t>
  </si>
  <si>
    <t>1.3 Omang Number</t>
  </si>
  <si>
    <t>Agribusiness</t>
  </si>
  <si>
    <t>Services</t>
  </si>
  <si>
    <t>Asset Finance</t>
  </si>
  <si>
    <t>Working Capital</t>
  </si>
  <si>
    <t>Asset &amp; Working Capital</t>
  </si>
  <si>
    <t>Monthly</t>
  </si>
  <si>
    <t>Fortnightly</t>
  </si>
  <si>
    <t>Weekly</t>
  </si>
  <si>
    <t>Type of Asset</t>
  </si>
  <si>
    <t>Original Cost</t>
  </si>
  <si>
    <t>Year of Acquisition</t>
  </si>
  <si>
    <t>Type of Liability</t>
  </si>
  <si>
    <t>Total Liabilities</t>
  </si>
  <si>
    <t>Rent</t>
  </si>
  <si>
    <t>Insurance</t>
  </si>
  <si>
    <t>Net Profit</t>
  </si>
  <si>
    <t>Business Income Statement</t>
  </si>
  <si>
    <t>Component</t>
  </si>
  <si>
    <t>No</t>
  </si>
  <si>
    <t>Additional Comments</t>
  </si>
  <si>
    <t>Additional comments</t>
  </si>
  <si>
    <t>Variable</t>
  </si>
  <si>
    <t>Is the business able to deal with its major threats</t>
  </si>
  <si>
    <t>Is the promoter servicing other loans well</t>
  </si>
  <si>
    <t>Is the promoter listed on the ITC/Credit Buruea</t>
  </si>
  <si>
    <t>Does the business have the right personel to compete</t>
  </si>
  <si>
    <t>Management Assesment</t>
  </si>
  <si>
    <t>Market Assesment</t>
  </si>
  <si>
    <t>Operational Effeciency</t>
  </si>
  <si>
    <t>Credit Evaluation</t>
  </si>
  <si>
    <t>Rating</t>
  </si>
  <si>
    <t>Weight</t>
  </si>
  <si>
    <t>Score</t>
  </si>
  <si>
    <t>Yes</t>
  </si>
  <si>
    <t>Skills Related to running the business</t>
  </si>
  <si>
    <t>Will the population density and demograpghics support the business ?</t>
  </si>
  <si>
    <t>Are all the necessary resources for offering service/ product available?</t>
  </si>
  <si>
    <t>Total Cashflow</t>
  </si>
  <si>
    <t>Operating Expenses</t>
  </si>
  <si>
    <t>Wages and Salaries</t>
  </si>
  <si>
    <t>Water</t>
  </si>
  <si>
    <t>Electricity</t>
  </si>
  <si>
    <t>Transportation</t>
  </si>
  <si>
    <t>Transportation/Fuel</t>
  </si>
  <si>
    <t>Licencing/Taxes</t>
  </si>
  <si>
    <t>Other Expenses</t>
  </si>
  <si>
    <t>Total Operating Expenses</t>
  </si>
  <si>
    <t>Net Business Cashflow</t>
  </si>
  <si>
    <t>Total Sales</t>
  </si>
  <si>
    <t>Sales Cost</t>
  </si>
  <si>
    <t>Household Income</t>
  </si>
  <si>
    <t>Spouse</t>
  </si>
  <si>
    <t>Children</t>
  </si>
  <si>
    <t>Transfers</t>
  </si>
  <si>
    <t>Other</t>
  </si>
  <si>
    <t>Total Household Income</t>
  </si>
  <si>
    <t>Household Expenses</t>
  </si>
  <si>
    <t xml:space="preserve">Food </t>
  </si>
  <si>
    <t>Telephone</t>
  </si>
  <si>
    <t>Education</t>
  </si>
  <si>
    <t>Family memebers assistance</t>
  </si>
  <si>
    <t>Medicine</t>
  </si>
  <si>
    <t>Family liabilities (Bank loan, other loan etc)</t>
  </si>
  <si>
    <t>Total Household Expenses</t>
  </si>
  <si>
    <t>Total Income</t>
  </si>
  <si>
    <t>Disposable Income</t>
  </si>
  <si>
    <t>Net Disposbale Income</t>
  </si>
  <si>
    <t>Sales Revenue</t>
  </si>
  <si>
    <t>CEDA Loan Installment</t>
  </si>
  <si>
    <t>Debt Burden Ratio</t>
  </si>
  <si>
    <t>Liabilities (Loans)</t>
  </si>
  <si>
    <t>HouseholdCashflow</t>
  </si>
  <si>
    <t>Balance Sheet</t>
  </si>
  <si>
    <t>Household Cashflow</t>
  </si>
  <si>
    <t>Is the cashflow sufficient to cover installment &amp; still leave profit</t>
  </si>
  <si>
    <t>Financial Assesment</t>
  </si>
  <si>
    <t>Is the Debt Burden Ratio within CEDA guidelines</t>
  </si>
  <si>
    <t>Is the Business profitable</t>
  </si>
  <si>
    <t>Total</t>
  </si>
  <si>
    <t>BalanceSheet</t>
  </si>
  <si>
    <t>SCORECARD SUMMARY</t>
  </si>
  <si>
    <t>PE's Comments:</t>
  </si>
  <si>
    <t>Recommendation:</t>
  </si>
  <si>
    <t>1.6 Age at application</t>
  </si>
  <si>
    <t>1.4 Gender</t>
  </si>
  <si>
    <t>1.5 Date of Birth</t>
  </si>
  <si>
    <t>1.7 Marital Status</t>
  </si>
  <si>
    <t>1.8 Postal Address</t>
  </si>
  <si>
    <t>Education/Experience related to the industry</t>
  </si>
  <si>
    <t>Promoter capable of running the business</t>
  </si>
  <si>
    <t xml:space="preserve">Promoter's personal committment to business(personal investments)  </t>
  </si>
  <si>
    <t>Is there a gap in the market ?</t>
  </si>
  <si>
    <t>Are there potential buyers for this product/service ?</t>
  </si>
  <si>
    <t>Is the business concept well defined and  sustainable ?</t>
  </si>
  <si>
    <t>How sensitive is the business to changes in purchase and Selling price ?</t>
  </si>
  <si>
    <t>Is the location suitable for the business?</t>
  </si>
  <si>
    <t>Is the business able to deal with its challenges</t>
  </si>
  <si>
    <t>DBR @50%</t>
  </si>
  <si>
    <t>Cash Flow</t>
  </si>
  <si>
    <t>APPENDIX 1</t>
  </si>
  <si>
    <t>1.9 Physical Address</t>
  </si>
  <si>
    <t>Does the business have competive advantage ?</t>
  </si>
  <si>
    <t>Offer Conditions</t>
  </si>
  <si>
    <t>Signatories</t>
  </si>
  <si>
    <t>Male</t>
  </si>
  <si>
    <t>Female</t>
  </si>
  <si>
    <t>Start-up</t>
  </si>
  <si>
    <t>Expansion</t>
  </si>
  <si>
    <t>APPENDIX 2</t>
  </si>
  <si>
    <t>2. Education and Experience</t>
  </si>
  <si>
    <t>2.1 Highest Education Level</t>
  </si>
  <si>
    <t>2.2 Training related to Business Concept</t>
  </si>
  <si>
    <t>2.3 Experience in Business (Related to current concept)</t>
  </si>
  <si>
    <t>3. Business Description</t>
  </si>
  <si>
    <t>3.1 Business Sector</t>
  </si>
  <si>
    <t>3.2 Business Description and Product Offering</t>
  </si>
  <si>
    <t>3.3 Business status (Start up/expansion)</t>
  </si>
  <si>
    <t>3.4 Financing Type</t>
  </si>
  <si>
    <t>3.5 Business Location</t>
  </si>
  <si>
    <t>3.6 Number of Years Operating</t>
  </si>
  <si>
    <t>3.7 Existing Employment</t>
  </si>
  <si>
    <t>3.8 Additional Employment</t>
  </si>
  <si>
    <t>3.9 Total Employed (Projected)</t>
  </si>
  <si>
    <t>1.10  Years at Physical Address</t>
  </si>
  <si>
    <t>1.11 Contact Details</t>
  </si>
  <si>
    <t>APPENDIX 3</t>
  </si>
  <si>
    <t>Is the business to sensitive to changes in purchase and selling price ?</t>
  </si>
  <si>
    <t>Will the population density and demograpghics support the business?</t>
  </si>
  <si>
    <t>1.1 Credit Evaluation</t>
  </si>
  <si>
    <t>1.2 Management Assesment</t>
  </si>
  <si>
    <t>1.3 Market Assesment</t>
  </si>
  <si>
    <t>1.4 Operational Effeciency</t>
  </si>
  <si>
    <t>ITC and Credit Bureau</t>
  </si>
  <si>
    <t>N/A</t>
  </si>
  <si>
    <t>Is the promoter servicing other loans well?</t>
  </si>
  <si>
    <t>Is the promoter listed on the ITC/Credit Buruea?</t>
  </si>
  <si>
    <t>Actual</t>
  </si>
  <si>
    <t>Forecast</t>
  </si>
  <si>
    <t>Annually</t>
  </si>
  <si>
    <t>Assets</t>
  </si>
  <si>
    <t>Liabilities</t>
  </si>
  <si>
    <t>Total Assets Value</t>
  </si>
  <si>
    <t>Value of Asset</t>
  </si>
  <si>
    <t>APPENDIX 4</t>
  </si>
  <si>
    <t>Financial Assumptions</t>
  </si>
  <si>
    <t>Other Comments</t>
  </si>
  <si>
    <t>Prepared By</t>
  </si>
  <si>
    <t>Comments</t>
  </si>
  <si>
    <t>………………………………………..</t>
  </si>
  <si>
    <t>Regional Manager</t>
  </si>
  <si>
    <t>4. Loan Details</t>
  </si>
  <si>
    <t>4.1 Group Contribution</t>
  </si>
  <si>
    <t>4.2 Group Loan Limit</t>
  </si>
  <si>
    <t>4.3 Individual Contribution</t>
  </si>
  <si>
    <t>4.4 Individual Loan Limit</t>
  </si>
  <si>
    <t>4.5 Loan Purpose</t>
  </si>
  <si>
    <t>4.6 Loan Amount</t>
  </si>
  <si>
    <t>4.7 Interest Rate</t>
  </si>
  <si>
    <t>4.8 Repayment Period in Months</t>
  </si>
  <si>
    <t>4.9 Frequency of Payments</t>
  </si>
  <si>
    <t>4.10 Proposed Term Start</t>
  </si>
  <si>
    <t>4.11 Proposed Term End</t>
  </si>
  <si>
    <t>4.12 Installment Due</t>
  </si>
  <si>
    <t>4.13 Cumulative Interest Payment</t>
  </si>
  <si>
    <t>Total Expenses</t>
  </si>
  <si>
    <t>Key:</t>
  </si>
  <si>
    <t>Excellent</t>
  </si>
  <si>
    <t>very good</t>
  </si>
  <si>
    <t>good</t>
  </si>
  <si>
    <t>fair</t>
  </si>
  <si>
    <t>poor</t>
  </si>
  <si>
    <t>verypoor</t>
  </si>
  <si>
    <t>Amount</t>
  </si>
  <si>
    <t>MF Coordinator</t>
  </si>
  <si>
    <t>ceda logo</t>
  </si>
  <si>
    <t>MICRO FINANCE APPRAISAL TOOL</t>
  </si>
  <si>
    <t>Assesment</t>
  </si>
  <si>
    <t>Financials</t>
  </si>
  <si>
    <t>Result</t>
  </si>
  <si>
    <t>REPORT CONTENTS:</t>
  </si>
  <si>
    <t>Existing Business</t>
  </si>
  <si>
    <t>Start Up Business</t>
  </si>
  <si>
    <t>The business concept is well defined and sustainable.</t>
  </si>
  <si>
    <t>Approval</t>
  </si>
  <si>
    <t>Recommend approval</t>
  </si>
  <si>
    <t>Repayment period: 12 months</t>
  </si>
  <si>
    <t>Frequency: Monthly</t>
  </si>
  <si>
    <t>The are no loans</t>
  </si>
  <si>
    <t>The promoter is not listed on ITC &amp; MBF</t>
  </si>
  <si>
    <t>The business is able to deal with its challenges.</t>
  </si>
  <si>
    <t>There are potential buyers for the products offered.</t>
  </si>
  <si>
    <t>The promoter is physically and mentally fit to run the business.</t>
  </si>
  <si>
    <t>There is gap in the market for the promoter's services .</t>
  </si>
  <si>
    <t>The business is responsive to changes in purchasing prices.</t>
  </si>
  <si>
    <t>WORKING CAPITAL</t>
  </si>
  <si>
    <t xml:space="preserve">The promoter has attended Mabogo Dinku pre funding training.  </t>
  </si>
  <si>
    <t>The promoter has a shortage of stock.</t>
  </si>
  <si>
    <t>Loan Amount: BWP 5000.00</t>
  </si>
  <si>
    <t>THAPAMA</t>
  </si>
  <si>
    <t>OTSE</t>
  </si>
  <si>
    <t>LEKHUBU WARD, OTSE</t>
  </si>
  <si>
    <t>10 YEARS BUSINESS EXPERIENCE</t>
  </si>
  <si>
    <t xml:space="preserve">STREET VENDOR </t>
  </si>
  <si>
    <t>BEAUTY IPOPENG BBATHULENG</t>
  </si>
  <si>
    <t>084421104'</t>
  </si>
  <si>
    <t>25/12/1975</t>
  </si>
  <si>
    <t>P O Box 50 LEKHUBU</t>
  </si>
  <si>
    <t>MABOGO DINKU PREFUNDING TRAINING</t>
  </si>
  <si>
    <t>She has adequate business experience. Has previously ran a poultry business thus has skills in sales as well as business management.</t>
  </si>
  <si>
    <t>She is highly competent.</t>
  </si>
  <si>
    <t>She was previously assisted with a loan of P7000 to establish a poultry business. Currently she wants to start up a street vendor business.</t>
  </si>
  <si>
    <t xml:space="preserve">The promoter's competitive advantage is that the location of the business is highly visible. </t>
  </si>
  <si>
    <t>The population density of Otse and surrounding villages is adequate to sustain the business.</t>
  </si>
  <si>
    <t>The location is safe and suitable for the project. There are no cases of theft or break-ins.</t>
  </si>
  <si>
    <t>Ms Beauty Ipopeng bathuleng wants to start up a street vendor business in Otse village. She intends to sell a variety of items like biscuits, softdrinks, chips and sweets.,</t>
  </si>
  <si>
    <t xml:space="preserve">The business will target residents of Otse especially neighbouring households, students and passersby. The promoter was assisted with a loan of P7000 to estalish her poultry business. However the business has been struggling since lockdown. The promoter hopes the </t>
  </si>
  <si>
    <t>proceeds of the new business will assist to revive the poultry business.</t>
  </si>
  <si>
    <t>Sales are at P7000 and sales cost is at P5000.</t>
  </si>
  <si>
    <t xml:space="preserve"> A loan of P5000 is recommended.</t>
  </si>
  <si>
    <t>Interest Rate: 3,75%</t>
  </si>
  <si>
    <t>Installment: BWP 432,29</t>
  </si>
  <si>
    <t>The promter has a personal income of P1000 generated from her poultry business and piece jobs. It has been discounted by 50%.</t>
  </si>
  <si>
    <t>Due Date of Installment: 30/01/2021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</si>
</sst>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mmmm\ d\,\ 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6"/>
      <color theme="1"/>
      <name val="Cambria"/>
      <family val="1"/>
    </font>
    <font>
      <b/>
      <i/>
      <sz val="16"/>
      <color theme="1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3">
    <xf numFmtId="0" fontId="0" fillId="0" borderId="0" xfId="0"/>
    <xf numFmtId="0" fontId="3" fillId="2" borderId="0" xfId="0" applyFont="1" applyFill="1"/>
    <xf numFmtId="0" fontId="2" fillId="0" borderId="0" xfId="0" applyFont="1"/>
    <xf numFmtId="0" fontId="2" fillId="0" borderId="1" xfId="0" applyFont="1" applyBorder="1"/>
    <xf numFmtId="9" fontId="0" fillId="0" borderId="0" xfId="2" applyFont="1"/>
    <xf numFmtId="0" fontId="0" fillId="0" borderId="0" xfId="0" applyProtection="1">
      <protection locked="0"/>
    </xf>
    <xf numFmtId="9" fontId="2" fillId="0" borderId="0" xfId="2" applyFont="1"/>
    <xf numFmtId="0" fontId="0" fillId="9" borderId="0" xfId="0" applyFill="1"/>
    <xf numFmtId="0" fontId="6" fillId="2" borderId="0" xfId="0" applyFont="1" applyFill="1"/>
    <xf numFmtId="0" fontId="7" fillId="2" borderId="0" xfId="0" applyFont="1" applyFill="1" applyAlignment="1"/>
    <xf numFmtId="0" fontId="6" fillId="2" borderId="1" xfId="0" applyFont="1" applyFill="1" applyBorder="1" applyAlignment="1" applyProtection="1">
      <alignment wrapText="1"/>
      <protection locked="0"/>
    </xf>
    <xf numFmtId="0" fontId="6" fillId="2" borderId="0" xfId="0" applyFont="1" applyFill="1" applyBorder="1"/>
    <xf numFmtId="0" fontId="6" fillId="2" borderId="1" xfId="0" applyFont="1" applyFill="1" applyBorder="1"/>
    <xf numFmtId="0" fontId="6" fillId="2" borderId="0" xfId="0" applyFont="1" applyFill="1" applyAlignment="1">
      <alignment wrapText="1"/>
    </xf>
    <xf numFmtId="43" fontId="6" fillId="2" borderId="1" xfId="1" applyFont="1" applyFill="1" applyBorder="1"/>
    <xf numFmtId="0" fontId="6" fillId="2" borderId="1" xfId="0" applyFont="1" applyFill="1" applyBorder="1" applyProtection="1">
      <protection locked="0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6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0" xfId="0" applyFont="1" applyFill="1"/>
    <xf numFmtId="0" fontId="7" fillId="0" borderId="0" xfId="0" applyFont="1" applyFill="1"/>
    <xf numFmtId="0" fontId="7" fillId="0" borderId="0" xfId="0" applyFont="1" applyFill="1" applyAlignment="1"/>
    <xf numFmtId="0" fontId="6" fillId="0" borderId="0" xfId="0" applyFont="1" applyFill="1" applyAlignment="1"/>
    <xf numFmtId="0" fontId="6" fillId="0" borderId="0" xfId="0" applyFont="1" applyFill="1" applyBorder="1"/>
    <xf numFmtId="0" fontId="6" fillId="0" borderId="0" xfId="0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0" fontId="10" fillId="0" borderId="0" xfId="0" applyFont="1" applyFill="1"/>
    <xf numFmtId="0" fontId="8" fillId="0" borderId="0" xfId="0" applyFont="1" applyFill="1"/>
    <xf numFmtId="0" fontId="6" fillId="0" borderId="0" xfId="0" applyFont="1" applyFill="1" applyBorder="1" applyAlignment="1">
      <alignment vertical="top"/>
    </xf>
    <xf numFmtId="14" fontId="6" fillId="2" borderId="1" xfId="0" applyNumberFormat="1" applyFont="1" applyFill="1" applyBorder="1" applyAlignment="1" applyProtection="1">
      <alignment wrapText="1"/>
      <protection locked="0"/>
    </xf>
    <xf numFmtId="43" fontId="1" fillId="0" borderId="5" xfId="1" applyFont="1" applyBorder="1"/>
    <xf numFmtId="0" fontId="6" fillId="2" borderId="0" xfId="0" applyFont="1" applyFill="1" applyBorder="1" applyAlignment="1" applyProtection="1">
      <alignment wrapText="1"/>
      <protection locked="0"/>
    </xf>
    <xf numFmtId="43" fontId="6" fillId="2" borderId="1" xfId="1" applyFont="1" applyFill="1" applyBorder="1" applyProtection="1">
      <protection locked="0"/>
    </xf>
    <xf numFmtId="9" fontId="6" fillId="2" borderId="3" xfId="2" applyFont="1" applyFill="1" applyBorder="1" applyProtection="1">
      <protection locked="0"/>
    </xf>
    <xf numFmtId="43" fontId="6" fillId="2" borderId="1" xfId="1" applyFont="1" applyFill="1" applyBorder="1" applyAlignment="1" applyProtection="1">
      <alignment horizontal="right"/>
      <protection locked="0"/>
    </xf>
    <xf numFmtId="164" fontId="6" fillId="2" borderId="1" xfId="0" applyNumberFormat="1" applyFont="1" applyFill="1" applyBorder="1" applyProtection="1">
      <protection locked="0"/>
    </xf>
    <xf numFmtId="0" fontId="0" fillId="0" borderId="1" xfId="0" applyFont="1" applyBorder="1" applyProtection="1"/>
    <xf numFmtId="0" fontId="6" fillId="2" borderId="3" xfId="0" applyFont="1" applyFill="1" applyBorder="1" applyProtection="1">
      <protection locked="0"/>
    </xf>
    <xf numFmtId="0" fontId="0" fillId="0" borderId="0" xfId="0" applyFill="1"/>
    <xf numFmtId="0" fontId="0" fillId="0" borderId="0" xfId="0" applyProtection="1"/>
    <xf numFmtId="0" fontId="5" fillId="0" borderId="0" xfId="3" applyProtection="1"/>
    <xf numFmtId="0" fontId="5" fillId="0" borderId="0" xfId="3" applyAlignment="1" applyProtection="1"/>
    <xf numFmtId="0" fontId="0" fillId="0" borderId="0" xfId="0" applyAlignment="1" applyProtection="1"/>
    <xf numFmtId="0" fontId="3" fillId="8" borderId="0" xfId="0" applyFont="1" applyFill="1" applyAlignment="1" applyProtection="1"/>
    <xf numFmtId="0" fontId="3" fillId="0" borderId="0" xfId="0" applyFont="1" applyFill="1" applyProtection="1"/>
    <xf numFmtId="0" fontId="4" fillId="2" borderId="0" xfId="0" applyFont="1" applyFill="1" applyProtection="1"/>
    <xf numFmtId="0" fontId="0" fillId="10" borderId="0" xfId="0" applyFill="1" applyProtection="1"/>
    <xf numFmtId="0" fontId="0" fillId="3" borderId="0" xfId="0" applyFill="1" applyProtection="1"/>
    <xf numFmtId="0" fontId="2" fillId="2" borderId="0" xfId="0" applyFont="1" applyFill="1" applyAlignment="1" applyProtection="1"/>
    <xf numFmtId="0" fontId="0" fillId="0" borderId="1" xfId="0" applyBorder="1" applyProtection="1"/>
    <xf numFmtId="0" fontId="2" fillId="0" borderId="1" xfId="0" applyFont="1" applyBorder="1" applyProtection="1"/>
    <xf numFmtId="0" fontId="2" fillId="0" borderId="0" xfId="0" applyFont="1" applyBorder="1" applyProtection="1"/>
    <xf numFmtId="0" fontId="0" fillId="0" borderId="0" xfId="0" applyBorder="1" applyProtection="1"/>
    <xf numFmtId="0" fontId="2" fillId="0" borderId="0" xfId="0" applyFont="1" applyProtection="1"/>
    <xf numFmtId="0" fontId="2" fillId="0" borderId="1" xfId="0" applyFont="1" applyBorder="1" applyAlignment="1" applyProtection="1">
      <alignment wrapText="1"/>
    </xf>
    <xf numFmtId="0" fontId="2" fillId="0" borderId="0" xfId="0" applyFont="1" applyAlignment="1" applyProtection="1">
      <alignment wrapText="1"/>
    </xf>
    <xf numFmtId="0" fontId="3" fillId="8" borderId="0" xfId="0" applyFont="1" applyFill="1" applyProtection="1"/>
    <xf numFmtId="0" fontId="0" fillId="0" borderId="0" xfId="0" applyFont="1" applyProtection="1"/>
    <xf numFmtId="0" fontId="0" fillId="0" borderId="0" xfId="0" applyAlignment="1" applyProtection="1">
      <alignment wrapText="1"/>
    </xf>
    <xf numFmtId="0" fontId="2" fillId="0" borderId="0" xfId="0" applyFont="1" applyFill="1" applyBorder="1" applyProtection="1"/>
    <xf numFmtId="43" fontId="0" fillId="0" borderId="1" xfId="0" applyNumberFormat="1" applyBorder="1" applyProtection="1"/>
    <xf numFmtId="0" fontId="0" fillId="0" borderId="1" xfId="0" applyNumberFormat="1" applyBorder="1" applyProtection="1"/>
    <xf numFmtId="0" fontId="2" fillId="0" borderId="3" xfId="0" applyFont="1" applyBorder="1" applyProtection="1"/>
    <xf numFmtId="0" fontId="2" fillId="0" borderId="0" xfId="0" applyFont="1" applyFill="1" applyProtection="1"/>
    <xf numFmtId="0" fontId="0" fillId="0" borderId="0" xfId="0" applyFill="1" applyProtection="1"/>
    <xf numFmtId="9" fontId="0" fillId="0" borderId="0" xfId="2" applyFont="1" applyProtection="1"/>
    <xf numFmtId="0" fontId="0" fillId="0" borderId="0" xfId="2" applyNumberFormat="1" applyFont="1" applyProtection="1"/>
    <xf numFmtId="0" fontId="0" fillId="0" borderId="0" xfId="0" applyFill="1" applyBorder="1" applyProtection="1"/>
    <xf numFmtId="0" fontId="0" fillId="0" borderId="1" xfId="0" applyBorder="1" applyAlignment="1" applyProtection="1">
      <alignment wrapText="1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9" xfId="0" applyBorder="1" applyProtection="1">
      <protection locked="0"/>
    </xf>
    <xf numFmtId="0" fontId="2" fillId="8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Fill="1" applyBorder="1" applyProtection="1">
      <protection locked="0"/>
    </xf>
    <xf numFmtId="9" fontId="0" fillId="0" borderId="1" xfId="0" applyNumberFormat="1" applyFont="1" applyBorder="1" applyProtection="1"/>
    <xf numFmtId="0" fontId="2" fillId="0" borderId="1" xfId="0" applyFont="1" applyFill="1" applyBorder="1" applyProtection="1"/>
    <xf numFmtId="9" fontId="2" fillId="0" borderId="1" xfId="0" applyNumberFormat="1" applyFont="1" applyBorder="1" applyProtection="1"/>
    <xf numFmtId="9" fontId="0" fillId="0" borderId="1" xfId="2" applyFont="1" applyBorder="1" applyProtection="1"/>
    <xf numFmtId="0" fontId="0" fillId="0" borderId="0" xfId="0" applyFont="1" applyFill="1" applyProtection="1"/>
    <xf numFmtId="0" fontId="2" fillId="0" borderId="10" xfId="0" applyFont="1" applyBorder="1"/>
    <xf numFmtId="0" fontId="0" fillId="0" borderId="8" xfId="0" applyBorder="1"/>
    <xf numFmtId="0" fontId="0" fillId="0" borderId="12" xfId="0" applyBorder="1"/>
    <xf numFmtId="0" fontId="6" fillId="2" borderId="12" xfId="0" applyFont="1" applyFill="1" applyBorder="1"/>
    <xf numFmtId="0" fontId="6" fillId="2" borderId="9" xfId="0" applyFont="1" applyFill="1" applyBorder="1"/>
    <xf numFmtId="0" fontId="0" fillId="0" borderId="14" xfId="0" applyBorder="1"/>
    <xf numFmtId="0" fontId="6" fillId="2" borderId="14" xfId="0" applyFont="1" applyFill="1" applyBorder="1"/>
    <xf numFmtId="0" fontId="6" fillId="2" borderId="5" xfId="0" applyFont="1" applyFill="1" applyBorder="1"/>
    <xf numFmtId="9" fontId="0" fillId="0" borderId="1" xfId="2" applyFont="1" applyFill="1" applyBorder="1" applyProtection="1"/>
    <xf numFmtId="0" fontId="12" fillId="0" borderId="0" xfId="0" applyFont="1"/>
    <xf numFmtId="0" fontId="4" fillId="0" borderId="0" xfId="0" applyFont="1"/>
    <xf numFmtId="0" fontId="13" fillId="3" borderId="6" xfId="0" applyFont="1" applyFill="1" applyBorder="1" applyAlignment="1"/>
    <xf numFmtId="0" fontId="14" fillId="0" borderId="0" xfId="0" applyFont="1"/>
    <xf numFmtId="0" fontId="15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9" fontId="14" fillId="0" borderId="1" xfId="2" applyFont="1" applyBorder="1" applyAlignment="1"/>
    <xf numFmtId="9" fontId="13" fillId="0" borderId="1" xfId="0" applyNumberFormat="1" applyFont="1" applyFill="1" applyBorder="1"/>
    <xf numFmtId="0" fontId="13" fillId="0" borderId="1" xfId="0" applyFont="1" applyFill="1" applyBorder="1"/>
    <xf numFmtId="0" fontId="13" fillId="4" borderId="0" xfId="0" applyFont="1" applyFill="1" applyAlignment="1">
      <alignment horizontal="left"/>
    </xf>
    <xf numFmtId="9" fontId="14" fillId="0" borderId="0" xfId="2" applyFont="1"/>
    <xf numFmtId="9" fontId="13" fillId="0" borderId="1" xfId="2" applyFont="1" applyBorder="1"/>
    <xf numFmtId="0" fontId="13" fillId="6" borderId="0" xfId="0" applyFont="1" applyFill="1" applyAlignment="1">
      <alignment horizontal="left"/>
    </xf>
    <xf numFmtId="0" fontId="13" fillId="7" borderId="0" xfId="0" applyFont="1" applyFill="1" applyAlignment="1">
      <alignment horizontal="left"/>
    </xf>
    <xf numFmtId="0" fontId="14" fillId="0" borderId="4" xfId="0" applyFont="1" applyBorder="1"/>
    <xf numFmtId="0" fontId="13" fillId="5" borderId="0" xfId="0" applyFont="1" applyFill="1" applyAlignment="1">
      <alignment horizontal="left"/>
    </xf>
    <xf numFmtId="9" fontId="13" fillId="0" borderId="1" xfId="0" applyNumberFormat="1" applyFont="1" applyBorder="1"/>
    <xf numFmtId="0" fontId="0" fillId="10" borderId="1" xfId="0" applyFill="1" applyBorder="1" applyProtection="1"/>
    <xf numFmtId="0" fontId="0" fillId="3" borderId="1" xfId="0" applyFill="1" applyBorder="1" applyProtection="1"/>
    <xf numFmtId="0" fontId="0" fillId="0" borderId="1" xfId="0" applyBorder="1" applyAlignment="1" applyProtection="1"/>
    <xf numFmtId="0" fontId="0" fillId="0" borderId="0" xfId="0" applyFill="1" applyBorder="1" applyAlignment="1" applyProtection="1"/>
    <xf numFmtId="0" fontId="5" fillId="11" borderId="0" xfId="3" quotePrefix="1" applyFill="1" applyAlignment="1">
      <alignment horizontal="left"/>
    </xf>
    <xf numFmtId="0" fontId="5" fillId="11" borderId="0" xfId="3" quotePrefix="1" applyFill="1" applyAlignment="1">
      <alignment horizontal="left" vertical="top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6" fillId="2" borderId="2" xfId="0" applyFont="1" applyFill="1" applyBorder="1" applyAlignment="1" applyProtection="1">
      <alignment horizontal="center"/>
      <protection locked="0"/>
    </xf>
    <xf numFmtId="0" fontId="6" fillId="2" borderId="4" xfId="0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11" fillId="2" borderId="2" xfId="0" applyFont="1" applyFill="1" applyBorder="1" applyAlignment="1" applyProtection="1">
      <alignment horizontal="center"/>
      <protection locked="0"/>
    </xf>
    <xf numFmtId="0" fontId="11" fillId="2" borderId="4" xfId="0" applyFont="1" applyFill="1" applyBorder="1" applyAlignment="1" applyProtection="1">
      <alignment horizontal="center"/>
      <protection locked="0"/>
    </xf>
    <xf numFmtId="0" fontId="6" fillId="0" borderId="2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6" fillId="2" borderId="2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6" fillId="0" borderId="2" xfId="0" applyFont="1" applyFill="1" applyBorder="1" applyAlignment="1" applyProtection="1">
      <alignment horizontal="center"/>
      <protection locked="0"/>
    </xf>
    <xf numFmtId="0" fontId="6" fillId="0" borderId="4" xfId="0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43" fontId="0" fillId="0" borderId="1" xfId="0" applyNumberFormat="1" applyBorder="1" applyAlignment="1" applyProtection="1">
      <alignment horizontal="center"/>
    </xf>
    <xf numFmtId="0" fontId="0" fillId="10" borderId="1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/>
    </xf>
    <xf numFmtId="0" fontId="0" fillId="3" borderId="15" xfId="0" applyFill="1" applyBorder="1" applyAlignment="1" applyProtection="1">
      <alignment horizontal="center"/>
    </xf>
    <xf numFmtId="0" fontId="0" fillId="3" borderId="4" xfId="0" applyFill="1" applyBorder="1" applyAlignment="1" applyProtection="1">
      <alignment horizontal="center"/>
    </xf>
    <xf numFmtId="9" fontId="0" fillId="0" borderId="2" xfId="2" applyFont="1" applyFill="1" applyBorder="1" applyAlignment="1" applyProtection="1">
      <alignment horizontal="center"/>
    </xf>
    <xf numFmtId="9" fontId="0" fillId="0" borderId="15" xfId="2" applyFont="1" applyFill="1" applyBorder="1" applyAlignment="1" applyProtection="1">
      <alignment horizontal="center"/>
    </xf>
    <xf numFmtId="9" fontId="0" fillId="0" borderId="4" xfId="2" applyFont="1" applyFill="1" applyBorder="1" applyAlignment="1" applyProtection="1">
      <alignment horizontal="center"/>
    </xf>
    <xf numFmtId="0" fontId="0" fillId="0" borderId="1" xfId="0" applyBorder="1" applyAlignment="1" applyProtection="1">
      <alignment horizontal="center"/>
      <protection locked="0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7">
    <dxf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171450</xdr:rowOff>
    </xdr:from>
    <xdr:to>
      <xdr:col>4</xdr:col>
      <xdr:colOff>285750</xdr:colOff>
      <xdr:row>13</xdr:row>
      <xdr:rowOff>152400</xdr:rowOff>
    </xdr:to>
    <xdr:pic>
      <xdr:nvPicPr>
        <xdr:cNvPr id="3" name="Picture 3" descr="ceda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3950"/>
          <a:ext cx="15049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D22"/>
  <sheetViews>
    <sheetView showGridLines="0" showRowColHeaders="0" workbookViewId="0">
      <selection activeCell="F27" sqref="F27:G27"/>
    </sheetView>
  </sheetViews>
  <sheetFormatPr defaultRowHeight="15" x14ac:dyDescent="0.25"/>
  <sheetData>
    <row r="10" spans="3:3" x14ac:dyDescent="0.25">
      <c r="C10" t="s">
        <v>196</v>
      </c>
    </row>
    <row r="16" spans="3:3" ht="23.25" x14ac:dyDescent="0.35">
      <c r="C16" s="100" t="s">
        <v>197</v>
      </c>
    </row>
    <row r="18" spans="3:4" ht="15.75" x14ac:dyDescent="0.25">
      <c r="C18" s="101" t="s">
        <v>201</v>
      </c>
    </row>
    <row r="19" spans="3:4" x14ac:dyDescent="0.25">
      <c r="C19" s="122" t="s">
        <v>5</v>
      </c>
      <c r="D19" s="122"/>
    </row>
    <row r="20" spans="3:4" x14ac:dyDescent="0.25">
      <c r="C20" s="123" t="s">
        <v>198</v>
      </c>
      <c r="D20" s="123"/>
    </row>
    <row r="21" spans="3:4" x14ac:dyDescent="0.25">
      <c r="C21" s="122" t="s">
        <v>199</v>
      </c>
      <c r="D21" s="122"/>
    </row>
    <row r="22" spans="3:4" x14ac:dyDescent="0.25">
      <c r="C22" s="123" t="s">
        <v>200</v>
      </c>
      <c r="D22" s="123"/>
    </row>
  </sheetData>
  <mergeCells count="4">
    <mergeCell ref="C19:D19"/>
    <mergeCell ref="C20:D20"/>
    <mergeCell ref="C21:D21"/>
    <mergeCell ref="C22:D22"/>
  </mergeCells>
  <hyperlinks>
    <hyperlink ref="C19" location="'Promoter Details'!A1" display="'Promoter Details'!A1"/>
    <hyperlink ref="C20" location="Assesment!A1" display="Assesment!A1"/>
    <hyperlink ref="C21" location="Financials!A1" display="Financials!A1"/>
    <hyperlink ref="C22" location="Result!A1" display="Result!A1"/>
    <hyperlink ref="C19:D19" location="'Promoter Details'!A1" display="Promoter Details"/>
    <hyperlink ref="C20:D20" location="Assesment!A1" display="Assesment"/>
    <hyperlink ref="C21:D21" location="Financials!A1" display="Financials"/>
    <hyperlink ref="C22:D22" location="Result!A1" display="Result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49"/>
  <sheetViews>
    <sheetView showGridLines="0" topLeftCell="A34" zoomScaleNormal="100" workbookViewId="0">
      <selection activeCell="C45" sqref="C45"/>
    </sheetView>
  </sheetViews>
  <sheetFormatPr defaultRowHeight="12.75" x14ac:dyDescent="0.2"/>
  <cols>
    <col min="1" max="1" width="7.7109375" style="8" customWidth="1"/>
    <col min="2" max="2" width="52.28515625" style="22" bestFit="1" customWidth="1"/>
    <col min="3" max="3" width="20.7109375" style="8" customWidth="1"/>
    <col min="4" max="4" width="13.85546875" style="8" customWidth="1"/>
    <col min="5" max="5" width="14.140625" style="8" customWidth="1"/>
    <col min="6" max="11" width="9.140625" style="8"/>
    <col min="12" max="12" width="9.140625" style="8" hidden="1" customWidth="1"/>
    <col min="13" max="16384" width="9.140625" style="8"/>
  </cols>
  <sheetData>
    <row r="1" spans="1:12" x14ac:dyDescent="0.2">
      <c r="A1" s="8" t="s">
        <v>121</v>
      </c>
      <c r="L1" s="8" t="s">
        <v>0</v>
      </c>
    </row>
    <row r="2" spans="1:12" ht="15.75" x14ac:dyDescent="0.25">
      <c r="A2" s="1" t="s">
        <v>5</v>
      </c>
      <c r="B2" s="23"/>
      <c r="L2" s="8" t="s">
        <v>1</v>
      </c>
    </row>
    <row r="3" spans="1:12" x14ac:dyDescent="0.2">
      <c r="L3" s="8" t="s">
        <v>2</v>
      </c>
    </row>
    <row r="4" spans="1:12" x14ac:dyDescent="0.2">
      <c r="A4" s="9" t="s">
        <v>6</v>
      </c>
      <c r="B4" s="24"/>
      <c r="L4" s="8" t="s">
        <v>3</v>
      </c>
    </row>
    <row r="5" spans="1:12" ht="25.5" x14ac:dyDescent="0.2">
      <c r="B5" s="25" t="s">
        <v>19</v>
      </c>
      <c r="C5" s="10" t="s">
        <v>225</v>
      </c>
      <c r="L5" s="8" t="s">
        <v>4</v>
      </c>
    </row>
    <row r="6" spans="1:12" x14ac:dyDescent="0.2">
      <c r="B6" s="25" t="s">
        <v>20</v>
      </c>
      <c r="C6" s="10" t="s">
        <v>220</v>
      </c>
    </row>
    <row r="7" spans="1:12" x14ac:dyDescent="0.2">
      <c r="B7" s="22" t="s">
        <v>21</v>
      </c>
      <c r="C7" s="10" t="s">
        <v>226</v>
      </c>
      <c r="L7" s="8" t="s">
        <v>7</v>
      </c>
    </row>
    <row r="8" spans="1:12" x14ac:dyDescent="0.2">
      <c r="B8" s="22" t="s">
        <v>106</v>
      </c>
      <c r="C8" s="10" t="s">
        <v>127</v>
      </c>
      <c r="L8" s="8" t="s">
        <v>8</v>
      </c>
    </row>
    <row r="9" spans="1:12" x14ac:dyDescent="0.2">
      <c r="B9" s="22" t="s">
        <v>107</v>
      </c>
      <c r="C9" s="32" t="s">
        <v>227</v>
      </c>
      <c r="L9" s="8" t="s">
        <v>9</v>
      </c>
    </row>
    <row r="10" spans="1:12" x14ac:dyDescent="0.2">
      <c r="B10" s="22" t="s">
        <v>105</v>
      </c>
      <c r="C10" s="10">
        <v>45</v>
      </c>
    </row>
    <row r="11" spans="1:12" x14ac:dyDescent="0.2">
      <c r="B11" s="22" t="s">
        <v>108</v>
      </c>
      <c r="C11" s="10" t="s">
        <v>4</v>
      </c>
    </row>
    <row r="12" spans="1:12" x14ac:dyDescent="0.2">
      <c r="C12" s="34"/>
    </row>
    <row r="13" spans="1:12" x14ac:dyDescent="0.2">
      <c r="B13" s="26" t="s">
        <v>109</v>
      </c>
      <c r="C13" s="15" t="s">
        <v>228</v>
      </c>
    </row>
    <row r="14" spans="1:12" x14ac:dyDescent="0.2">
      <c r="B14" s="26" t="s">
        <v>122</v>
      </c>
      <c r="C14" s="15" t="s">
        <v>222</v>
      </c>
      <c r="L14" s="8" t="s">
        <v>10</v>
      </c>
    </row>
    <row r="15" spans="1:12" x14ac:dyDescent="0.2">
      <c r="B15" s="26" t="s">
        <v>145</v>
      </c>
      <c r="C15" s="15" t="s">
        <v>9</v>
      </c>
      <c r="L15" s="8" t="s">
        <v>11</v>
      </c>
    </row>
    <row r="16" spans="1:12" x14ac:dyDescent="0.2">
      <c r="B16" s="27" t="s">
        <v>146</v>
      </c>
      <c r="C16" s="15">
        <v>71416409</v>
      </c>
      <c r="L16" s="8" t="s">
        <v>12</v>
      </c>
    </row>
    <row r="17" spans="1:12" x14ac:dyDescent="0.2">
      <c r="L17" s="8" t="s">
        <v>13</v>
      </c>
    </row>
    <row r="18" spans="1:12" x14ac:dyDescent="0.2">
      <c r="A18" s="9" t="s">
        <v>131</v>
      </c>
      <c r="L18" s="8" t="s">
        <v>14</v>
      </c>
    </row>
    <row r="19" spans="1:12" x14ac:dyDescent="0.2">
      <c r="B19" s="22" t="s">
        <v>132</v>
      </c>
      <c r="C19" s="15" t="s">
        <v>12</v>
      </c>
      <c r="D19" s="15"/>
      <c r="L19" s="8" t="s">
        <v>15</v>
      </c>
    </row>
    <row r="20" spans="1:12" x14ac:dyDescent="0.2">
      <c r="B20" s="22" t="s">
        <v>133</v>
      </c>
      <c r="C20" s="15" t="s">
        <v>229</v>
      </c>
      <c r="L20" s="8" t="s">
        <v>16</v>
      </c>
    </row>
    <row r="21" spans="1:12" x14ac:dyDescent="0.2">
      <c r="B21" s="22" t="s">
        <v>134</v>
      </c>
      <c r="C21" s="15" t="s">
        <v>223</v>
      </c>
      <c r="L21" s="8" t="s">
        <v>17</v>
      </c>
    </row>
    <row r="22" spans="1:12" x14ac:dyDescent="0.2">
      <c r="L22" s="8" t="s">
        <v>18</v>
      </c>
    </row>
    <row r="23" spans="1:12" x14ac:dyDescent="0.2">
      <c r="A23" s="9" t="s">
        <v>135</v>
      </c>
    </row>
    <row r="24" spans="1:12" x14ac:dyDescent="0.2">
      <c r="B24" s="22" t="s">
        <v>136</v>
      </c>
      <c r="C24" s="15" t="s">
        <v>23</v>
      </c>
    </row>
    <row r="25" spans="1:12" x14ac:dyDescent="0.2">
      <c r="B25" s="28" t="s">
        <v>137</v>
      </c>
      <c r="C25" s="15" t="s">
        <v>224</v>
      </c>
      <c r="L25" s="8" t="s">
        <v>22</v>
      </c>
    </row>
    <row r="26" spans="1:12" x14ac:dyDescent="0.2">
      <c r="B26" s="28" t="s">
        <v>138</v>
      </c>
      <c r="C26" s="15" t="s">
        <v>128</v>
      </c>
      <c r="L26" s="8" t="s">
        <v>23</v>
      </c>
    </row>
    <row r="27" spans="1:12" x14ac:dyDescent="0.2">
      <c r="B27" s="22" t="s">
        <v>139</v>
      </c>
      <c r="C27" s="15" t="s">
        <v>25</v>
      </c>
    </row>
    <row r="28" spans="1:12" x14ac:dyDescent="0.2">
      <c r="B28" s="22" t="s">
        <v>140</v>
      </c>
      <c r="C28" s="15" t="s">
        <v>221</v>
      </c>
    </row>
    <row r="29" spans="1:12" x14ac:dyDescent="0.2">
      <c r="B29" s="22" t="s">
        <v>141</v>
      </c>
      <c r="C29" s="15" t="s">
        <v>9</v>
      </c>
      <c r="L29" s="8" t="s">
        <v>24</v>
      </c>
    </row>
    <row r="30" spans="1:12" x14ac:dyDescent="0.2">
      <c r="B30" s="22" t="s">
        <v>142</v>
      </c>
      <c r="C30" s="15">
        <v>1</v>
      </c>
      <c r="L30" s="8" t="s">
        <v>25</v>
      </c>
    </row>
    <row r="31" spans="1:12" x14ac:dyDescent="0.2">
      <c r="B31" s="22" t="s">
        <v>143</v>
      </c>
      <c r="C31" s="15">
        <v>0</v>
      </c>
      <c r="L31" s="8" t="s">
        <v>26</v>
      </c>
    </row>
    <row r="32" spans="1:12" x14ac:dyDescent="0.2">
      <c r="B32" s="22" t="s">
        <v>144</v>
      </c>
      <c r="C32" s="12">
        <f>SUM(C30:C31)</f>
        <v>1</v>
      </c>
    </row>
    <row r="33" spans="1:12" x14ac:dyDescent="0.2">
      <c r="L33" s="8" t="s">
        <v>126</v>
      </c>
    </row>
    <row r="34" spans="1:12" x14ac:dyDescent="0.2">
      <c r="A34" s="9" t="s">
        <v>172</v>
      </c>
      <c r="L34" s="8" t="s">
        <v>127</v>
      </c>
    </row>
    <row r="35" spans="1:12" x14ac:dyDescent="0.2">
      <c r="B35" s="29" t="s">
        <v>173</v>
      </c>
      <c r="C35" s="35">
        <v>6700</v>
      </c>
    </row>
    <row r="36" spans="1:12" x14ac:dyDescent="0.2">
      <c r="B36" s="29" t="s">
        <v>174</v>
      </c>
      <c r="C36" s="14">
        <f>C35*10</f>
        <v>67000</v>
      </c>
      <c r="L36" s="8" t="s">
        <v>27</v>
      </c>
    </row>
    <row r="37" spans="1:12" x14ac:dyDescent="0.2">
      <c r="B37" s="29" t="s">
        <v>175</v>
      </c>
      <c r="C37" s="35">
        <v>500</v>
      </c>
      <c r="L37" s="8" t="s">
        <v>28</v>
      </c>
    </row>
    <row r="38" spans="1:12" x14ac:dyDescent="0.2">
      <c r="B38" s="29" t="s">
        <v>176</v>
      </c>
      <c r="C38" s="14">
        <f>C37*10</f>
        <v>5000</v>
      </c>
      <c r="L38" s="8" t="s">
        <v>29</v>
      </c>
    </row>
    <row r="39" spans="1:12" x14ac:dyDescent="0.2">
      <c r="B39" s="30"/>
      <c r="C39" s="11"/>
    </row>
    <row r="40" spans="1:12" x14ac:dyDescent="0.2">
      <c r="B40" s="22" t="s">
        <v>177</v>
      </c>
      <c r="C40" s="15" t="s">
        <v>216</v>
      </c>
      <c r="L40" s="8" t="s">
        <v>128</v>
      </c>
    </row>
    <row r="41" spans="1:12" x14ac:dyDescent="0.2">
      <c r="B41" s="22" t="s">
        <v>178</v>
      </c>
      <c r="C41" s="35">
        <v>5000</v>
      </c>
      <c r="L41" s="8" t="s">
        <v>129</v>
      </c>
    </row>
    <row r="42" spans="1:12" x14ac:dyDescent="0.2">
      <c r="B42" s="22" t="s">
        <v>179</v>
      </c>
      <c r="C42" s="36">
        <v>0.05</v>
      </c>
    </row>
    <row r="43" spans="1:12" ht="15" x14ac:dyDescent="0.25">
      <c r="B43" s="26" t="s">
        <v>180</v>
      </c>
      <c r="C43" s="39">
        <f>IFERROR(IF(DAY(C46)&gt;=DAY(C45),0,-1)+(YEAR(C46)-YEAR(C45))*12+MONTH(C46)-MONTH(C45),"")</f>
        <v>12</v>
      </c>
    </row>
    <row r="44" spans="1:12" x14ac:dyDescent="0.2">
      <c r="B44" s="22" t="s">
        <v>181</v>
      </c>
      <c r="C44" s="37" t="s">
        <v>27</v>
      </c>
    </row>
    <row r="45" spans="1:12" x14ac:dyDescent="0.2">
      <c r="B45" s="22" t="s">
        <v>182</v>
      </c>
      <c r="C45" s="38">
        <v>44226</v>
      </c>
    </row>
    <row r="46" spans="1:12" x14ac:dyDescent="0.2">
      <c r="B46" s="22" t="s">
        <v>183</v>
      </c>
      <c r="C46" s="38">
        <v>44591</v>
      </c>
    </row>
    <row r="47" spans="1:12" x14ac:dyDescent="0.2">
      <c r="B47" s="31" t="s">
        <v>184</v>
      </c>
      <c r="C47" s="14" t="s">
        <v>27</v>
      </c>
      <c r="D47" s="14" t="s">
        <v>28</v>
      </c>
      <c r="E47" s="14" t="s">
        <v>29</v>
      </c>
    </row>
    <row r="48" spans="1:12" x14ac:dyDescent="0.2">
      <c r="B48" s="31"/>
      <c r="C48" s="14">
        <f>IFERROR(-PMT(C42/12,C43,C41),"")</f>
        <v>428.03740894233567</v>
      </c>
      <c r="D48" s="14">
        <f>IFERROR(C48/2,"")</f>
        <v>214.01870447116784</v>
      </c>
      <c r="E48" s="14">
        <f>IFERROR(C48/4,"")</f>
        <v>107.00935223558392</v>
      </c>
    </row>
    <row r="49" spans="2:3" ht="15" x14ac:dyDescent="0.25">
      <c r="B49" s="26" t="s">
        <v>185</v>
      </c>
      <c r="C49" s="33">
        <f>IFERROR(-CUMIPMT(C42/12,C43,C41,1,C43,0),"")</f>
        <v>136.44890730802763</v>
      </c>
    </row>
  </sheetData>
  <sheetProtection algorithmName="SHA-512" hashValue="5mX8sFgeoBtR9IUM5zL/cIiR+q4Qqxy3NkEACIT2nXHzQWpKi9BZpokSR+0lhabriy5VnEMrUhGK8emrywehDA==" saltValue="zakSqhzy/1ifa8r2Q/MZFQ==" spinCount="100000" sheet="1" objects="1" scenarios="1"/>
  <protectedRanges>
    <protectedRange algorithmName="SHA-512" hashValue="vlqCByTzS5KibQaKlehxa1SIi09akMHE/dD1os4a1wo4Pb2uRrqP+gk8RcIQW6JCFomMVH8a0dWfHP04n7i0GA==" saltValue="szB+9vr4pxRe0wNz4f4Nsw==" spinCount="100000" sqref="C48:E48" name="Installment"/>
  </protectedRanges>
  <conditionalFormatting sqref="C47:C48">
    <cfRule type="expression" dxfId="6" priority="13">
      <formula>AND($C$44&lt;&gt;"Monthly",$C$47="Monthly")</formula>
    </cfRule>
  </conditionalFormatting>
  <conditionalFormatting sqref="D47:D48">
    <cfRule type="expression" dxfId="5" priority="14">
      <formula>AND($C$44&lt;&gt;"Fortnightly",$D$47="Fortnightly")</formula>
    </cfRule>
  </conditionalFormatting>
  <conditionalFormatting sqref="E47:E48">
    <cfRule type="expression" dxfId="4" priority="15">
      <formula>AND($C$44&lt;&gt;"Weekly",$E$47="Weekly")</formula>
    </cfRule>
  </conditionalFormatting>
  <conditionalFormatting sqref="D48">
    <cfRule type="expression" dxfId="3" priority="17">
      <formula>C33&lt;&gt;D49</formula>
    </cfRule>
  </conditionalFormatting>
  <conditionalFormatting sqref="C43">
    <cfRule type="expression" dxfId="2" priority="1">
      <formula>$C$39&gt;24</formula>
    </cfRule>
  </conditionalFormatting>
  <dataValidations count="8">
    <dataValidation type="list" allowBlank="1" showInputMessage="1" showErrorMessage="1" sqref="C11:C12">
      <formula1>$L$1:$L$5</formula1>
    </dataValidation>
    <dataValidation type="list" allowBlank="1" showInputMessage="1" showErrorMessage="1" sqref="C19">
      <formula1>$L$14:$L$22</formula1>
    </dataValidation>
    <dataValidation type="list" allowBlank="1" showInputMessage="1" showErrorMessage="1" sqref="C24">
      <formula1>$L$25:$L$26</formula1>
    </dataValidation>
    <dataValidation type="list" allowBlank="1" showInputMessage="1" showErrorMessage="1" sqref="C27">
      <formula1>$L$29:$L$31</formula1>
    </dataValidation>
    <dataValidation type="list" allowBlank="1" showInputMessage="1" showErrorMessage="1" sqref="C44">
      <formula1>$L$36:$L$38</formula1>
    </dataValidation>
    <dataValidation type="list" allowBlank="1" showInputMessage="1" showErrorMessage="1" sqref="C8">
      <formula1>$L$33:$L$34</formula1>
    </dataValidation>
    <dataValidation type="list" allowBlank="1" showInputMessage="1" showErrorMessage="1" sqref="C26">
      <formula1>$L$40:$L$41</formula1>
    </dataValidation>
    <dataValidation type="list" allowBlank="1" showInputMessage="1" showErrorMessage="1" sqref="C29 C15">
      <formula1>$L$7:$L$9</formula1>
    </dataValidation>
  </dataValidations>
  <pageMargins left="0.7" right="0.7" top="0.75" bottom="0.75" header="0.3" footer="0.3"/>
  <pageSetup scale="99" orientation="portrait" r:id="rId1"/>
  <headerFooter>
    <oddHeader xml:space="preserve">&amp;C&amp;"-,Bold"MICRO-FINANCE APPRAISAL
</oddHeader>
    <oddFooter>Page &amp;P</oddFooter>
  </headerFooter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9"/>
  <sheetViews>
    <sheetView showGridLines="0" zoomScaleNormal="100" workbookViewId="0">
      <selection activeCell="D29" sqref="D29:E29"/>
    </sheetView>
  </sheetViews>
  <sheetFormatPr defaultRowHeight="15" x14ac:dyDescent="0.25"/>
  <cols>
    <col min="1" max="1" width="23.7109375" bestFit="1" customWidth="1"/>
    <col min="2" max="2" width="19" customWidth="1"/>
    <col min="3" max="3" width="8.5703125" customWidth="1"/>
    <col min="5" max="5" width="116.7109375" customWidth="1"/>
    <col min="9" max="9" width="9.140625" hidden="1" customWidth="1"/>
  </cols>
  <sheetData>
    <row r="1" spans="1:11" x14ac:dyDescent="0.25">
      <c r="A1" s="8" t="s">
        <v>130</v>
      </c>
    </row>
    <row r="2" spans="1:11" x14ac:dyDescent="0.25">
      <c r="A2" s="8"/>
    </row>
    <row r="3" spans="1:11" x14ac:dyDescent="0.25">
      <c r="A3" s="17" t="s">
        <v>150</v>
      </c>
      <c r="B3" s="23"/>
      <c r="C3" s="22"/>
      <c r="D3" s="8"/>
      <c r="E3" s="8"/>
      <c r="G3" s="91" t="s">
        <v>187</v>
      </c>
      <c r="H3" s="92"/>
    </row>
    <row r="4" spans="1:11" x14ac:dyDescent="0.25">
      <c r="A4" s="124" t="s">
        <v>39</v>
      </c>
      <c r="B4" s="125"/>
      <c r="C4" s="15" t="s">
        <v>43</v>
      </c>
      <c r="D4" s="15" t="s">
        <v>41</v>
      </c>
      <c r="E4" s="15"/>
      <c r="G4" s="96">
        <v>5</v>
      </c>
      <c r="H4" s="93" t="s">
        <v>188</v>
      </c>
    </row>
    <row r="5" spans="1:11" x14ac:dyDescent="0.25">
      <c r="A5" s="128" t="s">
        <v>156</v>
      </c>
      <c r="B5" s="129"/>
      <c r="C5" s="40" t="s">
        <v>155</v>
      </c>
      <c r="D5" s="130" t="s">
        <v>209</v>
      </c>
      <c r="E5" s="131"/>
      <c r="F5" s="8"/>
      <c r="G5" s="97">
        <v>4</v>
      </c>
      <c r="H5" s="94" t="s">
        <v>189</v>
      </c>
      <c r="I5" s="8"/>
      <c r="J5" s="8"/>
      <c r="K5" s="8"/>
    </row>
    <row r="6" spans="1:11" x14ac:dyDescent="0.25">
      <c r="A6" s="128" t="s">
        <v>157</v>
      </c>
      <c r="B6" s="129"/>
      <c r="C6" s="15" t="s">
        <v>40</v>
      </c>
      <c r="D6" s="126" t="s">
        <v>210</v>
      </c>
      <c r="E6" s="127"/>
      <c r="F6" s="8"/>
      <c r="G6" s="97">
        <v>3</v>
      </c>
      <c r="H6" s="94" t="s">
        <v>190</v>
      </c>
      <c r="I6" s="8"/>
      <c r="J6" s="8"/>
      <c r="K6" s="8"/>
    </row>
    <row r="7" spans="1:11" x14ac:dyDescent="0.25">
      <c r="B7" s="8"/>
      <c r="C7" s="8"/>
      <c r="D7" s="8"/>
      <c r="E7" s="8"/>
      <c r="F7" s="8"/>
      <c r="G7" s="97">
        <v>2</v>
      </c>
      <c r="H7" s="94" t="s">
        <v>191</v>
      </c>
      <c r="I7" s="8">
        <v>0</v>
      </c>
      <c r="J7" s="8"/>
      <c r="K7" s="8"/>
    </row>
    <row r="8" spans="1:11" x14ac:dyDescent="0.25">
      <c r="A8" s="9" t="s">
        <v>151</v>
      </c>
      <c r="B8" s="8"/>
      <c r="C8" s="8"/>
      <c r="D8" s="8"/>
      <c r="E8" s="8"/>
      <c r="F8" s="8"/>
      <c r="G8" s="97">
        <v>1</v>
      </c>
      <c r="H8" s="94" t="s">
        <v>192</v>
      </c>
      <c r="I8" s="8">
        <v>1</v>
      </c>
      <c r="J8" s="8"/>
      <c r="K8" s="8"/>
    </row>
    <row r="9" spans="1:11" x14ac:dyDescent="0.25">
      <c r="A9" s="124" t="s">
        <v>39</v>
      </c>
      <c r="B9" s="125"/>
      <c r="C9" s="15" t="s">
        <v>43</v>
      </c>
      <c r="D9" s="136" t="s">
        <v>42</v>
      </c>
      <c r="E9" s="137"/>
      <c r="F9" s="8"/>
      <c r="G9" s="98">
        <v>0</v>
      </c>
      <c r="H9" s="95" t="s">
        <v>193</v>
      </c>
      <c r="I9" s="8">
        <v>2</v>
      </c>
      <c r="J9" s="8"/>
      <c r="K9" s="8"/>
    </row>
    <row r="10" spans="1:11" x14ac:dyDescent="0.25">
      <c r="A10" s="128" t="s">
        <v>110</v>
      </c>
      <c r="B10" s="129"/>
      <c r="C10" s="15">
        <v>4</v>
      </c>
      <c r="D10" s="126" t="s">
        <v>217</v>
      </c>
      <c r="E10" s="127"/>
      <c r="F10" s="8"/>
      <c r="G10" s="8"/>
      <c r="H10" s="8"/>
      <c r="I10" s="8">
        <v>3</v>
      </c>
      <c r="J10" s="8"/>
      <c r="K10" s="8"/>
    </row>
    <row r="11" spans="1:11" x14ac:dyDescent="0.25">
      <c r="A11" s="128" t="s">
        <v>56</v>
      </c>
      <c r="B11" s="129"/>
      <c r="C11" s="15">
        <v>3</v>
      </c>
      <c r="D11" s="126" t="s">
        <v>230</v>
      </c>
      <c r="E11" s="127"/>
      <c r="F11" s="8"/>
      <c r="G11" s="8"/>
      <c r="H11" s="8"/>
      <c r="I11" s="8">
        <v>4</v>
      </c>
      <c r="J11" s="8"/>
      <c r="K11" s="8"/>
    </row>
    <row r="12" spans="1:11" x14ac:dyDescent="0.25">
      <c r="A12" s="128" t="s">
        <v>111</v>
      </c>
      <c r="B12" s="129"/>
      <c r="C12" s="15">
        <v>3</v>
      </c>
      <c r="D12" s="126" t="s">
        <v>213</v>
      </c>
      <c r="E12" s="127"/>
      <c r="F12" s="8"/>
      <c r="G12" s="8"/>
      <c r="H12" s="8"/>
      <c r="I12" s="8">
        <v>5</v>
      </c>
      <c r="J12" s="8"/>
      <c r="K12" s="8"/>
    </row>
    <row r="13" spans="1:11" x14ac:dyDescent="0.25">
      <c r="A13" s="132" t="s">
        <v>47</v>
      </c>
      <c r="B13" s="133"/>
      <c r="C13" s="15">
        <v>3</v>
      </c>
      <c r="D13" s="138" t="s">
        <v>231</v>
      </c>
      <c r="E13" s="139"/>
      <c r="F13" s="8"/>
      <c r="G13" s="8"/>
      <c r="H13" s="8"/>
      <c r="I13" s="8"/>
      <c r="J13" s="8"/>
      <c r="K13" s="8"/>
    </row>
    <row r="14" spans="1:11" ht="25.5" customHeight="1" x14ac:dyDescent="0.25">
      <c r="A14" s="134" t="s">
        <v>112</v>
      </c>
      <c r="B14" s="135"/>
      <c r="C14" s="15">
        <v>4</v>
      </c>
      <c r="D14" s="126" t="s">
        <v>232</v>
      </c>
      <c r="E14" s="127"/>
      <c r="F14" s="8"/>
      <c r="G14" s="8"/>
      <c r="H14" s="8"/>
      <c r="I14" s="8" t="s">
        <v>55</v>
      </c>
      <c r="J14" s="8"/>
      <c r="K14" s="8"/>
    </row>
    <row r="15" spans="1:11" x14ac:dyDescent="0.25">
      <c r="A15" s="16"/>
      <c r="B15" s="16"/>
      <c r="C15" s="8"/>
      <c r="D15" s="13"/>
      <c r="E15" s="8"/>
      <c r="F15" s="8"/>
      <c r="G15" s="8"/>
      <c r="H15" s="8"/>
      <c r="I15" s="8" t="s">
        <v>40</v>
      </c>
      <c r="J15" s="8"/>
      <c r="K15" s="8"/>
    </row>
    <row r="16" spans="1:11" x14ac:dyDescent="0.25">
      <c r="A16" s="17" t="s">
        <v>152</v>
      </c>
      <c r="B16" s="16"/>
      <c r="C16" s="8"/>
      <c r="D16" s="8"/>
      <c r="E16" s="8"/>
      <c r="F16" s="8"/>
      <c r="G16" s="8"/>
      <c r="H16" s="8"/>
      <c r="I16" s="8" t="s">
        <v>155</v>
      </c>
      <c r="J16" s="8"/>
      <c r="K16" s="8"/>
    </row>
    <row r="17" spans="1:11" x14ac:dyDescent="0.25">
      <c r="A17" s="124" t="s">
        <v>39</v>
      </c>
      <c r="B17" s="125"/>
      <c r="C17" s="15" t="s">
        <v>43</v>
      </c>
      <c r="D17" s="15" t="s">
        <v>41</v>
      </c>
      <c r="E17" s="15"/>
      <c r="F17" s="8"/>
      <c r="G17" s="8"/>
      <c r="H17" s="8"/>
      <c r="I17" s="8"/>
      <c r="J17" s="8"/>
      <c r="K17" s="8"/>
    </row>
    <row r="18" spans="1:11" x14ac:dyDescent="0.25">
      <c r="A18" s="128" t="s">
        <v>113</v>
      </c>
      <c r="B18" s="129"/>
      <c r="C18" s="15">
        <v>4</v>
      </c>
      <c r="D18" s="126" t="s">
        <v>214</v>
      </c>
      <c r="E18" s="127"/>
      <c r="F18" s="8"/>
      <c r="G18" s="8"/>
      <c r="H18" s="8"/>
      <c r="I18" s="8"/>
      <c r="J18" s="8"/>
      <c r="K18" s="8"/>
    </row>
    <row r="19" spans="1:11" x14ac:dyDescent="0.25">
      <c r="A19" s="128" t="s">
        <v>114</v>
      </c>
      <c r="B19" s="129"/>
      <c r="C19" s="15">
        <v>3</v>
      </c>
      <c r="D19" s="126" t="s">
        <v>212</v>
      </c>
      <c r="E19" s="127"/>
      <c r="F19" s="8"/>
      <c r="G19" s="8"/>
      <c r="H19" s="8"/>
      <c r="I19" s="8"/>
      <c r="J19" s="8"/>
      <c r="K19" s="8"/>
    </row>
    <row r="20" spans="1:11" x14ac:dyDescent="0.25">
      <c r="A20" s="142" t="s">
        <v>115</v>
      </c>
      <c r="B20" s="143"/>
      <c r="C20" s="15">
        <v>3</v>
      </c>
      <c r="D20" s="126" t="s">
        <v>204</v>
      </c>
      <c r="E20" s="127"/>
      <c r="F20" s="8"/>
      <c r="G20" s="8"/>
      <c r="H20" s="8"/>
      <c r="I20" s="8"/>
      <c r="J20" s="8"/>
      <c r="K20" s="8"/>
    </row>
    <row r="21" spans="1:11" x14ac:dyDescent="0.25">
      <c r="A21" s="20" t="s">
        <v>123</v>
      </c>
      <c r="B21" s="21"/>
      <c r="C21" s="15">
        <v>3</v>
      </c>
      <c r="D21" s="126" t="s">
        <v>233</v>
      </c>
      <c r="E21" s="127"/>
      <c r="F21" s="8"/>
      <c r="G21" s="8"/>
      <c r="H21" s="8"/>
      <c r="I21" s="8"/>
      <c r="J21" s="8"/>
      <c r="K21" s="8"/>
    </row>
    <row r="22" spans="1:11" ht="28.5" customHeight="1" x14ac:dyDescent="0.25">
      <c r="A22" s="142" t="s">
        <v>149</v>
      </c>
      <c r="B22" s="143"/>
      <c r="C22" s="15">
        <v>4</v>
      </c>
      <c r="D22" s="126" t="s">
        <v>234</v>
      </c>
      <c r="E22" s="127"/>
      <c r="F22" s="8"/>
      <c r="G22" s="8"/>
      <c r="H22" s="8"/>
      <c r="I22" s="8"/>
      <c r="J22" s="8"/>
      <c r="K22" s="8"/>
    </row>
    <row r="23" spans="1:1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17" t="s">
        <v>153</v>
      </c>
      <c r="B24" s="16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124" t="s">
        <v>39</v>
      </c>
      <c r="B25" s="125"/>
      <c r="C25" s="15" t="s">
        <v>43</v>
      </c>
      <c r="D25" s="15" t="s">
        <v>41</v>
      </c>
      <c r="E25" s="15"/>
      <c r="F25" s="8"/>
      <c r="G25" s="8"/>
      <c r="H25" s="8"/>
      <c r="I25" s="8"/>
      <c r="J25" s="8"/>
      <c r="K25" s="8"/>
    </row>
    <row r="26" spans="1:11" ht="24.75" customHeight="1" x14ac:dyDescent="0.25">
      <c r="A26" s="140" t="s">
        <v>148</v>
      </c>
      <c r="B26" s="141"/>
      <c r="C26" s="15">
        <v>3</v>
      </c>
      <c r="D26" s="126" t="s">
        <v>215</v>
      </c>
      <c r="E26" s="127"/>
      <c r="F26" s="8"/>
      <c r="G26" s="8"/>
      <c r="H26" s="8"/>
      <c r="I26" s="8"/>
      <c r="J26" s="8"/>
      <c r="K26" s="8"/>
    </row>
    <row r="27" spans="1:11" x14ac:dyDescent="0.25">
      <c r="A27" s="140" t="s">
        <v>117</v>
      </c>
      <c r="B27" s="141"/>
      <c r="C27" s="15">
        <v>3</v>
      </c>
      <c r="D27" s="126" t="s">
        <v>235</v>
      </c>
      <c r="E27" s="127"/>
      <c r="F27" s="8"/>
      <c r="G27" s="8"/>
      <c r="H27" s="8"/>
      <c r="I27" s="8"/>
      <c r="J27" s="8"/>
      <c r="K27" s="8"/>
    </row>
    <row r="28" spans="1:11" ht="24.75" customHeight="1" x14ac:dyDescent="0.25">
      <c r="A28" s="140" t="s">
        <v>58</v>
      </c>
      <c r="B28" s="141"/>
      <c r="C28" s="15">
        <v>3</v>
      </c>
      <c r="D28" s="126" t="s">
        <v>218</v>
      </c>
      <c r="E28" s="127"/>
      <c r="F28" s="8"/>
      <c r="G28" s="8"/>
      <c r="H28" s="8"/>
      <c r="I28" s="8"/>
      <c r="J28" s="8"/>
      <c r="K28" s="8"/>
    </row>
    <row r="29" spans="1:11" x14ac:dyDescent="0.25">
      <c r="A29" s="140" t="s">
        <v>118</v>
      </c>
      <c r="B29" s="141" t="s">
        <v>44</v>
      </c>
      <c r="C29" s="15">
        <v>3</v>
      </c>
      <c r="D29" s="126" t="s">
        <v>211</v>
      </c>
      <c r="E29" s="127"/>
      <c r="F29" s="8"/>
      <c r="G29" s="8"/>
      <c r="H29" s="8"/>
      <c r="I29" s="8"/>
      <c r="J29" s="8"/>
      <c r="K29" s="8"/>
    </row>
    <row r="30" spans="1:11" x14ac:dyDescent="0.25">
      <c r="A30" s="18"/>
      <c r="B30" s="18"/>
      <c r="C30" s="11"/>
      <c r="D30" s="19"/>
      <c r="E30" s="19"/>
      <c r="F30" s="8"/>
      <c r="G30" s="8"/>
      <c r="H30" s="8"/>
      <c r="I30" s="8"/>
      <c r="J30" s="8"/>
      <c r="K30" s="8"/>
    </row>
    <row r="31" spans="1:1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25">
      <c r="F32" s="8"/>
      <c r="G32" s="8"/>
      <c r="H32" s="8"/>
      <c r="I32" s="8"/>
      <c r="J32" s="8"/>
      <c r="K32" s="8"/>
    </row>
    <row r="33" spans="1:11" x14ac:dyDescent="0.25">
      <c r="F33" s="8"/>
      <c r="G33" s="8"/>
      <c r="H33" s="8"/>
      <c r="I33" s="8"/>
      <c r="J33" s="8"/>
      <c r="K33" s="8"/>
    </row>
    <row r="34" spans="1:11" x14ac:dyDescent="0.25">
      <c r="F34" s="8"/>
      <c r="G34" s="8"/>
      <c r="H34" s="8"/>
      <c r="I34" s="8"/>
      <c r="J34" s="8"/>
      <c r="K34" s="8"/>
    </row>
    <row r="35" spans="1:11" ht="16.5" customHeight="1" x14ac:dyDescent="0.25">
      <c r="F35" s="8"/>
      <c r="G35" s="8"/>
      <c r="H35" s="8"/>
      <c r="I35" s="8"/>
      <c r="J35" s="8"/>
      <c r="K35" s="8"/>
    </row>
    <row r="36" spans="1:1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</sheetData>
  <sheetProtection algorithmName="SHA-512" hashValue="qKNkQxDF6/TNXcH6EoBKw6mEt9asfcYHDYVGS3bA3P5+cE4su/qYhah4WPYO8vz4OqMWk0CyMbKp5od1PkFlkQ==" saltValue="IpHPUhrfyT0azSONmdYK8w==" spinCount="100000" sheet="1" objects="1" scenarios="1" formatColumns="0" formatRows="0"/>
  <mergeCells count="36">
    <mergeCell ref="D29:E29"/>
    <mergeCell ref="A29:B29"/>
    <mergeCell ref="A27:B27"/>
    <mergeCell ref="A17:B17"/>
    <mergeCell ref="A18:B18"/>
    <mergeCell ref="A20:B20"/>
    <mergeCell ref="A22:B22"/>
    <mergeCell ref="A19:B19"/>
    <mergeCell ref="D22:E22"/>
    <mergeCell ref="D26:E26"/>
    <mergeCell ref="A28:B28"/>
    <mergeCell ref="D27:E27"/>
    <mergeCell ref="D28:E28"/>
    <mergeCell ref="A26:B26"/>
    <mergeCell ref="A25:B25"/>
    <mergeCell ref="D10:E10"/>
    <mergeCell ref="D12:E12"/>
    <mergeCell ref="D14:E14"/>
    <mergeCell ref="D11:E11"/>
    <mergeCell ref="D13:E13"/>
    <mergeCell ref="A4:B4"/>
    <mergeCell ref="D18:E18"/>
    <mergeCell ref="D19:E19"/>
    <mergeCell ref="D20:E20"/>
    <mergeCell ref="D21:E21"/>
    <mergeCell ref="A6:B6"/>
    <mergeCell ref="A5:B5"/>
    <mergeCell ref="D6:E6"/>
    <mergeCell ref="D5:E5"/>
    <mergeCell ref="A12:B12"/>
    <mergeCell ref="A9:B9"/>
    <mergeCell ref="A10:B10"/>
    <mergeCell ref="A13:B13"/>
    <mergeCell ref="A14:B14"/>
    <mergeCell ref="A11:B11"/>
    <mergeCell ref="D9:E9"/>
  </mergeCells>
  <dataValidations count="4">
    <dataValidation type="list" allowBlank="1" showInputMessage="1" showErrorMessage="1" sqref="C30">
      <formula1>#REF!</formula1>
    </dataValidation>
    <dataValidation type="list" allowBlank="1" showInputMessage="1" showErrorMessage="1" sqref="C10:C14 C26:C29 C18:C22">
      <formula1>$I$7:$I$12</formula1>
    </dataValidation>
    <dataValidation type="list" allowBlank="1" showInputMessage="1" showErrorMessage="1" sqref="C6">
      <formula1>$I$14:$I$15</formula1>
    </dataValidation>
    <dataValidation type="list" allowBlank="1" showInputMessage="1" showErrorMessage="1" sqref="C5">
      <formula1>$I$14:$I$16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11"/>
  <sheetViews>
    <sheetView showGridLines="0" tabSelected="1" zoomScaleNormal="100" workbookViewId="0">
      <selection activeCell="A102" sqref="A102"/>
    </sheetView>
  </sheetViews>
  <sheetFormatPr defaultRowHeight="15" x14ac:dyDescent="0.25"/>
  <cols>
    <col min="1" max="1" width="35.140625" style="42" customWidth="1"/>
    <col min="2" max="2" width="14.140625" style="42" customWidth="1"/>
    <col min="3" max="3" width="12.5703125" style="42" customWidth="1"/>
    <col min="4" max="4" width="10.5703125" style="42" customWidth="1"/>
    <col min="5" max="5" width="9.85546875" style="42" customWidth="1"/>
    <col min="6" max="6" width="10.42578125" style="42" customWidth="1"/>
    <col min="7" max="7" width="0.140625" style="42" customWidth="1"/>
    <col min="8" max="8" width="27.5703125" style="42" customWidth="1"/>
    <col min="9" max="9" width="116.140625" style="42" customWidth="1"/>
    <col min="10" max="11" width="9.140625" style="42"/>
    <col min="12" max="12" width="30.42578125" bestFit="1" customWidth="1"/>
  </cols>
  <sheetData>
    <row r="1" spans="1:11" x14ac:dyDescent="0.25">
      <c r="A1" s="42" t="s">
        <v>147</v>
      </c>
      <c r="D1" s="43" t="s">
        <v>38</v>
      </c>
      <c r="G1" s="44" t="s">
        <v>93</v>
      </c>
      <c r="H1" s="45"/>
      <c r="I1" s="44" t="s">
        <v>101</v>
      </c>
    </row>
    <row r="3" spans="1:11" ht="15.75" x14ac:dyDescent="0.25">
      <c r="A3" s="46" t="s">
        <v>38</v>
      </c>
      <c r="B3" s="46"/>
    </row>
    <row r="4" spans="1:11" ht="15.75" x14ac:dyDescent="0.25">
      <c r="A4" s="47"/>
      <c r="B4" s="145" t="s">
        <v>202</v>
      </c>
      <c r="C4" s="145"/>
      <c r="D4" s="146" t="s">
        <v>203</v>
      </c>
      <c r="E4" s="147"/>
      <c r="F4" s="148"/>
      <c r="G4" s="121"/>
      <c r="H4" s="121"/>
      <c r="I4" s="121"/>
    </row>
    <row r="5" spans="1:11" ht="15.75" x14ac:dyDescent="0.25">
      <c r="A5" s="48"/>
      <c r="B5" s="118" t="s">
        <v>158</v>
      </c>
      <c r="C5" s="118" t="s">
        <v>158</v>
      </c>
      <c r="D5" s="119" t="s">
        <v>159</v>
      </c>
      <c r="E5" s="119" t="s">
        <v>159</v>
      </c>
      <c r="F5" s="119" t="s">
        <v>159</v>
      </c>
      <c r="I5"/>
      <c r="J5"/>
      <c r="K5"/>
    </row>
    <row r="6" spans="1:11" x14ac:dyDescent="0.25">
      <c r="A6" s="51" t="s">
        <v>70</v>
      </c>
      <c r="B6" s="52" t="s">
        <v>27</v>
      </c>
      <c r="C6" s="52" t="s">
        <v>160</v>
      </c>
      <c r="D6" s="52" t="s">
        <v>29</v>
      </c>
      <c r="E6" s="52" t="s">
        <v>27</v>
      </c>
      <c r="F6" s="52" t="s">
        <v>160</v>
      </c>
      <c r="I6"/>
      <c r="J6"/>
      <c r="K6"/>
    </row>
    <row r="7" spans="1:11" x14ac:dyDescent="0.25">
      <c r="A7" s="39" t="s">
        <v>89</v>
      </c>
      <c r="B7" s="72">
        <v>7000</v>
      </c>
      <c r="C7" s="72">
        <f>B7*12</f>
        <v>84000</v>
      </c>
      <c r="D7" s="72">
        <f>B7/4</f>
        <v>1750</v>
      </c>
      <c r="E7" s="52">
        <f>D7*4</f>
        <v>7000</v>
      </c>
      <c r="F7" s="52">
        <f>E7*12</f>
        <v>84000</v>
      </c>
      <c r="I7"/>
      <c r="J7"/>
      <c r="K7"/>
    </row>
    <row r="8" spans="1:11" x14ac:dyDescent="0.25">
      <c r="A8" s="39" t="s">
        <v>71</v>
      </c>
      <c r="B8" s="72">
        <v>5000</v>
      </c>
      <c r="C8" s="72">
        <v>60000</v>
      </c>
      <c r="D8" s="72">
        <f>B8/4</f>
        <v>1250</v>
      </c>
      <c r="E8" s="52">
        <f>D8*4</f>
        <v>5000</v>
      </c>
      <c r="F8" s="52">
        <f>E8*12</f>
        <v>60000</v>
      </c>
      <c r="I8"/>
      <c r="J8"/>
      <c r="K8"/>
    </row>
    <row r="9" spans="1:11" x14ac:dyDescent="0.25">
      <c r="A9" s="53" t="s">
        <v>59</v>
      </c>
      <c r="B9" s="53">
        <f>IFERROR(B7-B8,"")</f>
        <v>2000</v>
      </c>
      <c r="C9" s="53">
        <f t="shared" ref="C9:F9" si="0">IFERROR(C7-C8,"")</f>
        <v>24000</v>
      </c>
      <c r="D9" s="53">
        <f t="shared" si="0"/>
        <v>500</v>
      </c>
      <c r="E9" s="53">
        <f t="shared" si="0"/>
        <v>2000</v>
      </c>
      <c r="F9" s="53">
        <f t="shared" si="0"/>
        <v>24000</v>
      </c>
      <c r="I9"/>
      <c r="J9"/>
      <c r="K9"/>
    </row>
    <row r="10" spans="1:11" x14ac:dyDescent="0.25">
      <c r="A10" s="54"/>
      <c r="B10" s="55"/>
      <c r="C10" s="55"/>
      <c r="D10" s="55"/>
      <c r="E10" s="55"/>
      <c r="F10" s="55"/>
      <c r="I10"/>
      <c r="J10"/>
      <c r="K10"/>
    </row>
    <row r="11" spans="1:11" x14ac:dyDescent="0.25">
      <c r="B11" s="49" t="s">
        <v>158</v>
      </c>
      <c r="C11" s="49" t="s">
        <v>158</v>
      </c>
      <c r="D11" s="50" t="s">
        <v>159</v>
      </c>
      <c r="E11" s="50" t="s">
        <v>159</v>
      </c>
      <c r="F11" s="50" t="s">
        <v>159</v>
      </c>
      <c r="I11"/>
      <c r="J11"/>
      <c r="K11"/>
    </row>
    <row r="12" spans="1:11" x14ac:dyDescent="0.25">
      <c r="A12" s="56" t="s">
        <v>60</v>
      </c>
      <c r="B12" s="52" t="str">
        <f>B6</f>
        <v>Monthly</v>
      </c>
      <c r="C12" s="52" t="str">
        <f>C6</f>
        <v>Annually</v>
      </c>
      <c r="D12" s="52" t="str">
        <f>D6</f>
        <v>Weekly</v>
      </c>
      <c r="E12" s="52" t="s">
        <v>27</v>
      </c>
      <c r="F12" s="52" t="s">
        <v>160</v>
      </c>
      <c r="I12"/>
      <c r="J12"/>
      <c r="K12"/>
    </row>
    <row r="13" spans="1:11" x14ac:dyDescent="0.25">
      <c r="A13" s="39" t="s">
        <v>61</v>
      </c>
      <c r="B13" s="72"/>
      <c r="C13" s="72"/>
      <c r="D13" s="72"/>
      <c r="E13" s="52">
        <f>D13*4</f>
        <v>0</v>
      </c>
      <c r="F13" s="52">
        <f t="shared" ref="F13:F25" si="1">E13*12</f>
        <v>0</v>
      </c>
      <c r="I13"/>
      <c r="J13"/>
      <c r="K13"/>
    </row>
    <row r="14" spans="1:11" x14ac:dyDescent="0.25">
      <c r="A14" s="39" t="s">
        <v>35</v>
      </c>
      <c r="B14" s="72"/>
      <c r="C14" s="72"/>
      <c r="D14" s="72"/>
      <c r="E14" s="52">
        <f t="shared" ref="E14:E25" si="2">D14*4</f>
        <v>0</v>
      </c>
      <c r="F14" s="52">
        <f t="shared" si="1"/>
        <v>0</v>
      </c>
      <c r="I14"/>
      <c r="J14"/>
      <c r="K14"/>
    </row>
    <row r="15" spans="1:11" x14ac:dyDescent="0.25">
      <c r="A15" s="39" t="s">
        <v>62</v>
      </c>
      <c r="B15" s="72"/>
      <c r="C15" s="72"/>
      <c r="D15" s="72"/>
      <c r="E15" s="52">
        <f t="shared" si="2"/>
        <v>0</v>
      </c>
      <c r="F15" s="52">
        <f t="shared" si="1"/>
        <v>0</v>
      </c>
      <c r="I15"/>
      <c r="J15"/>
      <c r="K15"/>
    </row>
    <row r="16" spans="1:11" x14ac:dyDescent="0.25">
      <c r="A16" s="39" t="s">
        <v>63</v>
      </c>
      <c r="B16" s="72"/>
      <c r="C16" s="72"/>
      <c r="D16" s="72"/>
      <c r="E16" s="52">
        <f t="shared" si="2"/>
        <v>0</v>
      </c>
      <c r="F16" s="52">
        <f t="shared" si="1"/>
        <v>0</v>
      </c>
      <c r="I16"/>
      <c r="J16"/>
      <c r="K16"/>
    </row>
    <row r="17" spans="1:11" x14ac:dyDescent="0.25">
      <c r="A17" s="39" t="s">
        <v>65</v>
      </c>
      <c r="B17" s="72">
        <v>350</v>
      </c>
      <c r="C17" s="72">
        <v>4200</v>
      </c>
      <c r="D17" s="72">
        <f t="shared" ref="D17" si="3">B17/4</f>
        <v>87.5</v>
      </c>
      <c r="E17" s="52">
        <f t="shared" si="2"/>
        <v>350</v>
      </c>
      <c r="F17" s="52">
        <f t="shared" si="1"/>
        <v>4200</v>
      </c>
      <c r="I17"/>
      <c r="J17"/>
      <c r="K17"/>
    </row>
    <row r="18" spans="1:11" x14ac:dyDescent="0.25">
      <c r="A18" s="39" t="s">
        <v>66</v>
      </c>
      <c r="B18" s="72">
        <v>100</v>
      </c>
      <c r="C18" s="72">
        <v>1200</v>
      </c>
      <c r="D18" s="72">
        <v>25</v>
      </c>
      <c r="E18" s="52">
        <f t="shared" si="2"/>
        <v>100</v>
      </c>
      <c r="F18" s="52">
        <f t="shared" si="1"/>
        <v>1200</v>
      </c>
      <c r="I18"/>
      <c r="J18"/>
      <c r="K18"/>
    </row>
    <row r="19" spans="1:11" x14ac:dyDescent="0.25">
      <c r="A19" s="39" t="s">
        <v>36</v>
      </c>
      <c r="B19" s="72"/>
      <c r="C19" s="72"/>
      <c r="D19" s="72"/>
      <c r="E19" s="52">
        <f t="shared" si="2"/>
        <v>0</v>
      </c>
      <c r="F19" s="52">
        <f t="shared" si="1"/>
        <v>0</v>
      </c>
      <c r="I19"/>
      <c r="J19"/>
      <c r="K19"/>
    </row>
    <row r="20" spans="1:11" x14ac:dyDescent="0.25">
      <c r="A20" s="39" t="s">
        <v>67</v>
      </c>
      <c r="B20" s="72"/>
      <c r="C20" s="72"/>
      <c r="D20" s="72"/>
      <c r="E20" s="52">
        <f t="shared" si="2"/>
        <v>0</v>
      </c>
      <c r="F20" s="52">
        <f t="shared" si="1"/>
        <v>0</v>
      </c>
      <c r="I20"/>
      <c r="J20"/>
      <c r="K20"/>
    </row>
    <row r="21" spans="1:11" x14ac:dyDescent="0.25">
      <c r="A21" s="39" t="s">
        <v>67</v>
      </c>
      <c r="B21" s="72"/>
      <c r="C21" s="72"/>
      <c r="D21" s="72"/>
      <c r="E21" s="52">
        <f t="shared" si="2"/>
        <v>0</v>
      </c>
      <c r="F21" s="52">
        <f t="shared" si="1"/>
        <v>0</v>
      </c>
      <c r="I21"/>
      <c r="J21"/>
      <c r="K21"/>
    </row>
    <row r="22" spans="1:11" x14ac:dyDescent="0.25">
      <c r="A22" s="39" t="s">
        <v>67</v>
      </c>
      <c r="B22" s="72"/>
      <c r="C22" s="72"/>
      <c r="D22" s="72"/>
      <c r="E22" s="52">
        <f t="shared" si="2"/>
        <v>0</v>
      </c>
      <c r="F22" s="52">
        <f t="shared" si="1"/>
        <v>0</v>
      </c>
      <c r="I22"/>
      <c r="J22"/>
      <c r="K22"/>
    </row>
    <row r="23" spans="1:11" x14ac:dyDescent="0.25">
      <c r="A23" s="39" t="s">
        <v>67</v>
      </c>
      <c r="B23" s="72"/>
      <c r="C23" s="72"/>
      <c r="D23" s="72"/>
      <c r="E23" s="52">
        <f t="shared" si="2"/>
        <v>0</v>
      </c>
      <c r="F23" s="52">
        <f t="shared" si="1"/>
        <v>0</v>
      </c>
      <c r="I23"/>
      <c r="J23"/>
      <c r="K23"/>
    </row>
    <row r="24" spans="1:11" x14ac:dyDescent="0.25">
      <c r="A24" s="39" t="s">
        <v>67</v>
      </c>
      <c r="B24" s="72"/>
      <c r="C24" s="72"/>
      <c r="D24" s="72"/>
      <c r="E24" s="52">
        <f t="shared" si="2"/>
        <v>0</v>
      </c>
      <c r="F24" s="52">
        <f t="shared" si="1"/>
        <v>0</v>
      </c>
      <c r="I24"/>
      <c r="J24"/>
      <c r="K24"/>
    </row>
    <row r="25" spans="1:11" x14ac:dyDescent="0.25">
      <c r="A25" s="39" t="s">
        <v>92</v>
      </c>
      <c r="B25" s="72"/>
      <c r="C25" s="72"/>
      <c r="D25" s="72"/>
      <c r="E25" s="52">
        <f t="shared" si="2"/>
        <v>0</v>
      </c>
      <c r="F25" s="52">
        <f t="shared" si="1"/>
        <v>0</v>
      </c>
      <c r="I25"/>
      <c r="J25"/>
      <c r="K25"/>
    </row>
    <row r="26" spans="1:11" ht="35.25" customHeight="1" x14ac:dyDescent="0.25">
      <c r="A26" s="57" t="s">
        <v>68</v>
      </c>
      <c r="B26" s="53">
        <f t="shared" ref="B26:F26" si="4">SUM(B13:B25)</f>
        <v>450</v>
      </c>
      <c r="C26" s="53">
        <f t="shared" si="4"/>
        <v>5400</v>
      </c>
      <c r="D26" s="53">
        <f t="shared" si="4"/>
        <v>112.5</v>
      </c>
      <c r="E26" s="53">
        <f t="shared" si="4"/>
        <v>450</v>
      </c>
      <c r="F26" s="53">
        <f t="shared" si="4"/>
        <v>5400</v>
      </c>
      <c r="I26"/>
      <c r="J26"/>
      <c r="K26"/>
    </row>
    <row r="27" spans="1:11" x14ac:dyDescent="0.25">
      <c r="I27"/>
      <c r="J27"/>
      <c r="K27"/>
    </row>
    <row r="28" spans="1:11" x14ac:dyDescent="0.25">
      <c r="B28" s="49" t="s">
        <v>158</v>
      </c>
      <c r="C28" s="49" t="s">
        <v>158</v>
      </c>
      <c r="D28" s="50" t="s">
        <v>159</v>
      </c>
      <c r="E28" s="50" t="s">
        <v>159</v>
      </c>
      <c r="F28" s="50" t="s">
        <v>159</v>
      </c>
      <c r="I28"/>
      <c r="J28"/>
      <c r="K28"/>
    </row>
    <row r="29" spans="1:11" ht="33.75" customHeight="1" x14ac:dyDescent="0.25">
      <c r="A29" s="58" t="s">
        <v>69</v>
      </c>
      <c r="B29" s="52" t="str">
        <f>B6</f>
        <v>Monthly</v>
      </c>
      <c r="C29" s="52" t="str">
        <f>C6</f>
        <v>Annually</v>
      </c>
      <c r="D29" s="52" t="str">
        <f>D6</f>
        <v>Weekly</v>
      </c>
      <c r="E29" s="52" t="s">
        <v>27</v>
      </c>
      <c r="F29" s="52" t="s">
        <v>160</v>
      </c>
      <c r="I29"/>
      <c r="J29"/>
      <c r="K29"/>
    </row>
    <row r="30" spans="1:11" x14ac:dyDescent="0.25">
      <c r="B30" s="53">
        <f t="shared" ref="B30:F30" si="5">B9-B26</f>
        <v>1550</v>
      </c>
      <c r="C30" s="53">
        <f t="shared" si="5"/>
        <v>18600</v>
      </c>
      <c r="D30" s="53">
        <f t="shared" si="5"/>
        <v>387.5</v>
      </c>
      <c r="E30" s="53">
        <f t="shared" si="5"/>
        <v>1550</v>
      </c>
      <c r="F30" s="53">
        <f t="shared" si="5"/>
        <v>18600</v>
      </c>
      <c r="I30"/>
      <c r="J30"/>
      <c r="K30"/>
    </row>
    <row r="31" spans="1:11" x14ac:dyDescent="0.25">
      <c r="I31"/>
      <c r="J31"/>
      <c r="K31"/>
    </row>
    <row r="32" spans="1:11" x14ac:dyDescent="0.25">
      <c r="I32"/>
      <c r="J32"/>
      <c r="K32"/>
    </row>
    <row r="33" spans="1:11" x14ac:dyDescent="0.25">
      <c r="I33"/>
      <c r="J33"/>
      <c r="K33"/>
    </row>
    <row r="34" spans="1:11" x14ac:dyDescent="0.25">
      <c r="I34"/>
      <c r="J34"/>
      <c r="K34"/>
    </row>
    <row r="35" spans="1:11" x14ac:dyDescent="0.25">
      <c r="I35"/>
      <c r="J35"/>
      <c r="K35"/>
    </row>
    <row r="36" spans="1:11" ht="15.75" x14ac:dyDescent="0.25">
      <c r="A36" s="59" t="s">
        <v>95</v>
      </c>
      <c r="I36"/>
      <c r="J36"/>
      <c r="K36"/>
    </row>
    <row r="37" spans="1:11" x14ac:dyDescent="0.25">
      <c r="I37"/>
      <c r="J37"/>
      <c r="K37"/>
    </row>
    <row r="38" spans="1:11" x14ac:dyDescent="0.25">
      <c r="B38" s="49" t="s">
        <v>158</v>
      </c>
      <c r="C38" s="49" t="s">
        <v>158</v>
      </c>
      <c r="D38" s="50" t="s">
        <v>159</v>
      </c>
      <c r="E38" s="50" t="s">
        <v>159</v>
      </c>
      <c r="F38" s="50" t="s">
        <v>159</v>
      </c>
      <c r="I38"/>
      <c r="J38"/>
      <c r="K38"/>
    </row>
    <row r="39" spans="1:11" x14ac:dyDescent="0.25">
      <c r="B39" s="52" t="str">
        <f>B6</f>
        <v>Monthly</v>
      </c>
      <c r="C39" s="52" t="str">
        <f>C6</f>
        <v>Annually</v>
      </c>
      <c r="D39" s="52" t="str">
        <f>D6</f>
        <v>Weekly</v>
      </c>
      <c r="E39" s="52" t="s">
        <v>27</v>
      </c>
      <c r="F39" s="52" t="s">
        <v>160</v>
      </c>
      <c r="I39"/>
      <c r="J39"/>
      <c r="K39"/>
    </row>
    <row r="40" spans="1:11" x14ac:dyDescent="0.25">
      <c r="A40" s="56" t="s">
        <v>69</v>
      </c>
      <c r="B40" s="53">
        <f t="shared" ref="B40:F40" si="6">B30</f>
        <v>1550</v>
      </c>
      <c r="C40" s="53">
        <f t="shared" si="6"/>
        <v>18600</v>
      </c>
      <c r="D40" s="53">
        <f t="shared" si="6"/>
        <v>387.5</v>
      </c>
      <c r="E40" s="53">
        <f t="shared" si="6"/>
        <v>1550</v>
      </c>
      <c r="F40" s="53">
        <f t="shared" si="6"/>
        <v>18600</v>
      </c>
      <c r="I40"/>
      <c r="J40"/>
      <c r="K40"/>
    </row>
    <row r="41" spans="1:11" x14ac:dyDescent="0.25">
      <c r="A41" s="56"/>
      <c r="B41" s="54"/>
      <c r="C41" s="54"/>
      <c r="D41" s="54"/>
      <c r="E41" s="54"/>
      <c r="F41" s="54"/>
      <c r="I41"/>
      <c r="J41"/>
      <c r="K41"/>
    </row>
    <row r="42" spans="1:11" x14ac:dyDescent="0.25">
      <c r="B42" s="49" t="s">
        <v>158</v>
      </c>
      <c r="C42" s="49" t="s">
        <v>158</v>
      </c>
      <c r="D42" s="50" t="s">
        <v>159</v>
      </c>
      <c r="E42" s="50" t="s">
        <v>159</v>
      </c>
      <c r="F42" s="50" t="s">
        <v>159</v>
      </c>
      <c r="I42"/>
      <c r="J42"/>
      <c r="K42"/>
    </row>
    <row r="43" spans="1:11" x14ac:dyDescent="0.25">
      <c r="A43" s="56" t="s">
        <v>72</v>
      </c>
      <c r="B43" s="52" t="str">
        <f>B6</f>
        <v>Monthly</v>
      </c>
      <c r="C43" s="52" t="str">
        <f>C6</f>
        <v>Annually</v>
      </c>
      <c r="D43" s="52" t="str">
        <f>D6</f>
        <v>Weekly</v>
      </c>
      <c r="E43" s="52" t="s">
        <v>27</v>
      </c>
      <c r="F43" s="52" t="s">
        <v>160</v>
      </c>
      <c r="I43"/>
      <c r="J43"/>
      <c r="K43"/>
    </row>
    <row r="44" spans="1:11" x14ac:dyDescent="0.25">
      <c r="A44" s="42" t="s">
        <v>73</v>
      </c>
      <c r="B44" s="72"/>
      <c r="C44" s="72"/>
      <c r="D44" s="72">
        <f>B44/4</f>
        <v>0</v>
      </c>
      <c r="E44" s="52">
        <f>D44*4</f>
        <v>0</v>
      </c>
      <c r="F44" s="52">
        <f t="shared" ref="F44:F48" si="7">E44*12</f>
        <v>0</v>
      </c>
      <c r="I44"/>
      <c r="J44"/>
      <c r="K44"/>
    </row>
    <row r="45" spans="1:11" x14ac:dyDescent="0.25">
      <c r="A45" s="42" t="s">
        <v>74</v>
      </c>
      <c r="B45" s="72"/>
      <c r="C45" s="72"/>
      <c r="D45" s="72">
        <f t="shared" ref="D45:D48" si="8">B45/4</f>
        <v>0</v>
      </c>
      <c r="E45" s="52">
        <f t="shared" ref="E45:E48" si="9">D45*4</f>
        <v>0</v>
      </c>
      <c r="F45" s="52">
        <f t="shared" si="7"/>
        <v>0</v>
      </c>
      <c r="I45"/>
      <c r="J45"/>
      <c r="K45"/>
    </row>
    <row r="46" spans="1:11" x14ac:dyDescent="0.25">
      <c r="A46" s="42" t="s">
        <v>35</v>
      </c>
      <c r="B46" s="72"/>
      <c r="C46" s="72"/>
      <c r="D46" s="72">
        <f t="shared" si="8"/>
        <v>0</v>
      </c>
      <c r="E46" s="52">
        <f t="shared" si="9"/>
        <v>0</v>
      </c>
      <c r="F46" s="52">
        <f t="shared" si="7"/>
        <v>0</v>
      </c>
      <c r="I46"/>
      <c r="J46"/>
      <c r="K46"/>
    </row>
    <row r="47" spans="1:11" x14ac:dyDescent="0.25">
      <c r="A47" s="42" t="s">
        <v>75</v>
      </c>
      <c r="B47" s="72"/>
      <c r="C47" s="72"/>
      <c r="D47" s="72">
        <f t="shared" si="8"/>
        <v>0</v>
      </c>
      <c r="E47" s="52">
        <f t="shared" si="9"/>
        <v>0</v>
      </c>
      <c r="F47" s="52">
        <f t="shared" si="7"/>
        <v>0</v>
      </c>
      <c r="I47"/>
      <c r="J47"/>
      <c r="K47"/>
    </row>
    <row r="48" spans="1:11" x14ac:dyDescent="0.25">
      <c r="A48" s="42" t="s">
        <v>76</v>
      </c>
      <c r="B48" s="72">
        <v>1000</v>
      </c>
      <c r="C48" s="72">
        <v>12000</v>
      </c>
      <c r="D48" s="72">
        <f t="shared" si="8"/>
        <v>250</v>
      </c>
      <c r="E48" s="52">
        <f t="shared" si="9"/>
        <v>1000</v>
      </c>
      <c r="F48" s="52">
        <f t="shared" si="7"/>
        <v>12000</v>
      </c>
      <c r="I48"/>
      <c r="J48"/>
      <c r="K48"/>
    </row>
    <row r="49" spans="1:11" x14ac:dyDescent="0.25">
      <c r="A49" s="56" t="s">
        <v>77</v>
      </c>
      <c r="B49" s="53">
        <f>SUM(B40,B44:B48)</f>
        <v>2550</v>
      </c>
      <c r="C49" s="53">
        <f t="shared" ref="C49:F49" si="10">SUM(C40,C44:C48)</f>
        <v>30600</v>
      </c>
      <c r="D49" s="53">
        <f t="shared" si="10"/>
        <v>637.5</v>
      </c>
      <c r="E49" s="53">
        <f t="shared" si="10"/>
        <v>2550</v>
      </c>
      <c r="F49" s="53">
        <f t="shared" si="10"/>
        <v>30600</v>
      </c>
      <c r="I49"/>
      <c r="J49"/>
      <c r="K49"/>
    </row>
    <row r="50" spans="1:11" x14ac:dyDescent="0.25">
      <c r="A50" s="56"/>
      <c r="B50" s="54"/>
      <c r="C50" s="54"/>
      <c r="D50" s="54"/>
      <c r="E50" s="54"/>
      <c r="F50" s="54"/>
      <c r="I50"/>
      <c r="J50"/>
      <c r="K50"/>
    </row>
    <row r="51" spans="1:11" x14ac:dyDescent="0.25">
      <c r="B51" s="49" t="s">
        <v>158</v>
      </c>
      <c r="C51" s="49" t="s">
        <v>158</v>
      </c>
      <c r="D51" s="50" t="s">
        <v>159</v>
      </c>
      <c r="E51" s="50" t="s">
        <v>159</v>
      </c>
      <c r="F51" s="50" t="s">
        <v>159</v>
      </c>
      <c r="I51"/>
      <c r="J51"/>
      <c r="K51"/>
    </row>
    <row r="52" spans="1:11" x14ac:dyDescent="0.25">
      <c r="A52" s="56" t="s">
        <v>78</v>
      </c>
      <c r="B52" s="52" t="str">
        <f>B6</f>
        <v>Monthly</v>
      </c>
      <c r="C52" s="52" t="str">
        <f>C6</f>
        <v>Annually</v>
      </c>
      <c r="D52" s="52" t="str">
        <f>D6</f>
        <v>Weekly</v>
      </c>
      <c r="E52" s="52" t="s">
        <v>27</v>
      </c>
      <c r="F52" s="52" t="s">
        <v>160</v>
      </c>
      <c r="I52"/>
      <c r="J52"/>
      <c r="K52"/>
    </row>
    <row r="53" spans="1:11" x14ac:dyDescent="0.25">
      <c r="A53" s="42" t="s">
        <v>79</v>
      </c>
      <c r="B53" s="72">
        <v>700</v>
      </c>
      <c r="C53" s="72">
        <f>B53*12</f>
        <v>8400</v>
      </c>
      <c r="D53" s="72">
        <f>B53/4</f>
        <v>175</v>
      </c>
      <c r="E53" s="52">
        <f>D53*4</f>
        <v>700</v>
      </c>
      <c r="F53" s="52">
        <f t="shared" ref="F53:F63" si="11">E53*12</f>
        <v>8400</v>
      </c>
      <c r="I53"/>
      <c r="J53"/>
      <c r="K53"/>
    </row>
    <row r="54" spans="1:11" x14ac:dyDescent="0.25">
      <c r="A54" s="60" t="s">
        <v>35</v>
      </c>
      <c r="B54" s="72"/>
      <c r="C54" s="72"/>
      <c r="D54" s="72">
        <f>B54/4</f>
        <v>0</v>
      </c>
      <c r="E54" s="52">
        <f t="shared" ref="E54:E63" si="12">D54*4</f>
        <v>0</v>
      </c>
      <c r="F54" s="52">
        <f t="shared" si="11"/>
        <v>0</v>
      </c>
      <c r="I54"/>
      <c r="J54"/>
      <c r="K54"/>
    </row>
    <row r="55" spans="1:11" x14ac:dyDescent="0.25">
      <c r="A55" s="42" t="s">
        <v>62</v>
      </c>
      <c r="B55" s="72">
        <v>200</v>
      </c>
      <c r="C55" s="72">
        <f t="shared" ref="C55:C60" si="13">B55*12</f>
        <v>2400</v>
      </c>
      <c r="D55" s="72">
        <f t="shared" ref="D55:D60" si="14">B55/4</f>
        <v>50</v>
      </c>
      <c r="E55" s="52">
        <f t="shared" si="12"/>
        <v>200</v>
      </c>
      <c r="F55" s="52">
        <f t="shared" si="11"/>
        <v>2400</v>
      </c>
      <c r="I55"/>
      <c r="J55"/>
      <c r="K55"/>
    </row>
    <row r="56" spans="1:11" x14ac:dyDescent="0.25">
      <c r="A56" s="42" t="s">
        <v>63</v>
      </c>
      <c r="B56" s="72"/>
      <c r="C56" s="72">
        <f t="shared" si="13"/>
        <v>0</v>
      </c>
      <c r="D56" s="72">
        <f t="shared" si="14"/>
        <v>0</v>
      </c>
      <c r="E56" s="52">
        <f t="shared" si="12"/>
        <v>0</v>
      </c>
      <c r="F56" s="52">
        <f t="shared" si="11"/>
        <v>0</v>
      </c>
      <c r="I56"/>
      <c r="J56"/>
      <c r="K56"/>
    </row>
    <row r="57" spans="1:11" x14ac:dyDescent="0.25">
      <c r="A57" s="42" t="s">
        <v>80</v>
      </c>
      <c r="B57" s="72">
        <v>100</v>
      </c>
      <c r="C57" s="72">
        <f t="shared" si="13"/>
        <v>1200</v>
      </c>
      <c r="D57" s="72">
        <f t="shared" si="14"/>
        <v>25</v>
      </c>
      <c r="E57" s="52">
        <f t="shared" si="12"/>
        <v>100</v>
      </c>
      <c r="F57" s="52">
        <f t="shared" si="11"/>
        <v>1200</v>
      </c>
      <c r="I57"/>
      <c r="J57"/>
      <c r="K57"/>
    </row>
    <row r="58" spans="1:11" x14ac:dyDescent="0.25">
      <c r="A58" s="42" t="s">
        <v>64</v>
      </c>
      <c r="B58" s="72">
        <v>200</v>
      </c>
      <c r="C58" s="72">
        <f t="shared" si="13"/>
        <v>2400</v>
      </c>
      <c r="D58" s="72">
        <f t="shared" si="14"/>
        <v>50</v>
      </c>
      <c r="E58" s="52">
        <f t="shared" si="12"/>
        <v>200</v>
      </c>
      <c r="F58" s="52">
        <f t="shared" si="11"/>
        <v>2400</v>
      </c>
      <c r="I58"/>
      <c r="J58"/>
      <c r="K58"/>
    </row>
    <row r="59" spans="1:11" x14ac:dyDescent="0.25">
      <c r="A59" s="42" t="s">
        <v>81</v>
      </c>
      <c r="B59" s="72">
        <v>62.5</v>
      </c>
      <c r="C59" s="72">
        <f t="shared" si="13"/>
        <v>750</v>
      </c>
      <c r="D59" s="72">
        <f t="shared" si="14"/>
        <v>15.625</v>
      </c>
      <c r="E59" s="52">
        <f t="shared" si="12"/>
        <v>62.5</v>
      </c>
      <c r="F59" s="52">
        <f t="shared" si="11"/>
        <v>750</v>
      </c>
      <c r="I59"/>
      <c r="J59"/>
      <c r="K59"/>
    </row>
    <row r="60" spans="1:11" x14ac:dyDescent="0.25">
      <c r="A60" s="42" t="s">
        <v>82</v>
      </c>
      <c r="B60" s="72">
        <v>200</v>
      </c>
      <c r="C60" s="72">
        <f t="shared" si="13"/>
        <v>2400</v>
      </c>
      <c r="D60" s="72">
        <f t="shared" si="14"/>
        <v>50</v>
      </c>
      <c r="E60" s="52">
        <f t="shared" si="12"/>
        <v>200</v>
      </c>
      <c r="F60" s="52">
        <f t="shared" si="11"/>
        <v>2400</v>
      </c>
      <c r="I60"/>
      <c r="J60"/>
      <c r="K60"/>
    </row>
    <row r="61" spans="1:11" x14ac:dyDescent="0.25">
      <c r="A61" s="42" t="s">
        <v>83</v>
      </c>
      <c r="B61" s="72"/>
      <c r="C61" s="72"/>
      <c r="D61" s="72"/>
      <c r="E61" s="52">
        <f t="shared" si="12"/>
        <v>0</v>
      </c>
      <c r="F61" s="52">
        <f t="shared" si="11"/>
        <v>0</v>
      </c>
      <c r="I61"/>
      <c r="J61"/>
      <c r="K61"/>
    </row>
    <row r="62" spans="1:11" ht="30" x14ac:dyDescent="0.25">
      <c r="A62" s="61" t="s">
        <v>84</v>
      </c>
      <c r="B62" s="72"/>
      <c r="C62" s="72"/>
      <c r="D62" s="72"/>
      <c r="E62" s="52">
        <f t="shared" si="12"/>
        <v>0</v>
      </c>
      <c r="F62" s="52">
        <f t="shared" si="11"/>
        <v>0</v>
      </c>
      <c r="I62"/>
      <c r="J62"/>
      <c r="K62"/>
    </row>
    <row r="63" spans="1:11" x14ac:dyDescent="0.25">
      <c r="A63" s="42" t="s">
        <v>67</v>
      </c>
      <c r="B63" s="72">
        <v>100</v>
      </c>
      <c r="C63" s="72">
        <v>1200</v>
      </c>
      <c r="D63" s="72">
        <f>B63/4</f>
        <v>25</v>
      </c>
      <c r="E63" s="52">
        <f t="shared" si="12"/>
        <v>100</v>
      </c>
      <c r="F63" s="52">
        <f t="shared" si="11"/>
        <v>1200</v>
      </c>
      <c r="I63"/>
      <c r="J63"/>
      <c r="K63"/>
    </row>
    <row r="64" spans="1:11" x14ac:dyDescent="0.25">
      <c r="A64" s="56" t="s">
        <v>85</v>
      </c>
      <c r="B64" s="53">
        <f>SUM(B53:B63)</f>
        <v>1562.5</v>
      </c>
      <c r="C64" s="53">
        <f t="shared" ref="C64:F64" si="15">SUM(C53:C63)</f>
        <v>18750</v>
      </c>
      <c r="D64" s="53">
        <f t="shared" si="15"/>
        <v>390.625</v>
      </c>
      <c r="E64" s="53">
        <f t="shared" si="15"/>
        <v>1562.5</v>
      </c>
      <c r="F64" s="53">
        <f t="shared" si="15"/>
        <v>18750</v>
      </c>
      <c r="I64"/>
      <c r="J64"/>
      <c r="K64"/>
    </row>
    <row r="65" spans="1:11" x14ac:dyDescent="0.25">
      <c r="A65" s="56"/>
      <c r="B65" s="54"/>
      <c r="C65" s="54"/>
      <c r="D65" s="54"/>
      <c r="E65" s="54"/>
      <c r="F65" s="54"/>
      <c r="I65"/>
      <c r="J65"/>
      <c r="K65"/>
    </row>
    <row r="66" spans="1:11" x14ac:dyDescent="0.25">
      <c r="B66" s="49" t="s">
        <v>158</v>
      </c>
      <c r="C66" s="49" t="s">
        <v>158</v>
      </c>
      <c r="D66" s="50" t="s">
        <v>159</v>
      </c>
      <c r="E66" s="50" t="s">
        <v>159</v>
      </c>
      <c r="F66" s="50" t="s">
        <v>159</v>
      </c>
      <c r="I66"/>
      <c r="J66"/>
      <c r="K66"/>
    </row>
    <row r="67" spans="1:11" x14ac:dyDescent="0.25">
      <c r="B67" s="52" t="str">
        <f>B6</f>
        <v>Monthly</v>
      </c>
      <c r="C67" s="52" t="str">
        <f>C6</f>
        <v>Annually</v>
      </c>
      <c r="D67" s="52" t="str">
        <f>D6</f>
        <v>Weekly</v>
      </c>
      <c r="E67" s="52" t="s">
        <v>27</v>
      </c>
      <c r="F67" s="52" t="s">
        <v>160</v>
      </c>
      <c r="I67"/>
      <c r="J67"/>
      <c r="K67"/>
    </row>
    <row r="68" spans="1:11" x14ac:dyDescent="0.25">
      <c r="A68" s="56" t="s">
        <v>86</v>
      </c>
      <c r="B68" s="53">
        <f t="shared" ref="B68:C68" si="16">B49</f>
        <v>2550</v>
      </c>
      <c r="C68" s="53">
        <f t="shared" si="16"/>
        <v>30600</v>
      </c>
      <c r="D68" s="53">
        <f>D49</f>
        <v>637.5</v>
      </c>
      <c r="E68" s="53">
        <f>D68*4</f>
        <v>2550</v>
      </c>
      <c r="F68" s="53">
        <f t="shared" ref="F68:F70" si="17">E68*12</f>
        <v>30600</v>
      </c>
      <c r="I68"/>
      <c r="J68"/>
      <c r="K68"/>
    </row>
    <row r="69" spans="1:11" x14ac:dyDescent="0.25">
      <c r="A69" s="56" t="s">
        <v>186</v>
      </c>
      <c r="B69" s="53">
        <f t="shared" ref="B69:C69" si="18">B64</f>
        <v>1562.5</v>
      </c>
      <c r="C69" s="53">
        <f t="shared" si="18"/>
        <v>18750</v>
      </c>
      <c r="D69" s="53">
        <f>D64</f>
        <v>390.625</v>
      </c>
      <c r="E69" s="53">
        <f t="shared" ref="E69:E71" si="19">D69*4</f>
        <v>1562.5</v>
      </c>
      <c r="F69" s="53">
        <f t="shared" si="17"/>
        <v>18750</v>
      </c>
      <c r="I69"/>
      <c r="J69"/>
      <c r="K69"/>
    </row>
    <row r="70" spans="1:11" x14ac:dyDescent="0.25">
      <c r="A70" s="56" t="s">
        <v>87</v>
      </c>
      <c r="B70" s="65">
        <f t="shared" ref="B70:C70" si="20">B68-B69</f>
        <v>987.5</v>
      </c>
      <c r="C70" s="65">
        <f t="shared" si="20"/>
        <v>11850</v>
      </c>
      <c r="D70" s="65">
        <f>D68-D69</f>
        <v>246.875</v>
      </c>
      <c r="E70" s="53">
        <f t="shared" si="19"/>
        <v>987.5</v>
      </c>
      <c r="F70" s="53">
        <f t="shared" si="17"/>
        <v>11850</v>
      </c>
      <c r="I70"/>
      <c r="J70"/>
      <c r="K70"/>
    </row>
    <row r="71" spans="1:11" x14ac:dyDescent="0.25">
      <c r="A71" s="62" t="s">
        <v>119</v>
      </c>
      <c r="B71" s="120"/>
      <c r="C71" s="120"/>
      <c r="D71" s="120"/>
      <c r="E71" s="53">
        <f t="shared" si="19"/>
        <v>0</v>
      </c>
      <c r="F71" s="53">
        <f>IFERROR(F70/2,"")</f>
        <v>5925</v>
      </c>
      <c r="I71"/>
      <c r="J71"/>
      <c r="K71"/>
    </row>
    <row r="72" spans="1:11" x14ac:dyDescent="0.25">
      <c r="A72" s="56" t="s">
        <v>90</v>
      </c>
      <c r="B72" s="144"/>
      <c r="C72" s="144"/>
      <c r="D72" s="63">
        <f>'Promoter Details'!$E$48</f>
        <v>107.00935223558392</v>
      </c>
      <c r="E72" s="63">
        <f>'Promoter Details'!$C$48</f>
        <v>428.03740894233567</v>
      </c>
      <c r="F72" s="64">
        <f>IFERROR(E72*12,"")</f>
        <v>5136.4489073080276</v>
      </c>
      <c r="I72"/>
      <c r="J72"/>
      <c r="K72"/>
    </row>
    <row r="73" spans="1:11" x14ac:dyDescent="0.25">
      <c r="A73" s="56" t="s">
        <v>88</v>
      </c>
      <c r="B73" s="65">
        <f>IFERROR(B70-B72,0)</f>
        <v>987.5</v>
      </c>
      <c r="C73" s="65">
        <f t="shared" ref="C73:F73" si="21">IFERROR(C70-C72,0)</f>
        <v>11850</v>
      </c>
      <c r="D73" s="65">
        <f t="shared" si="21"/>
        <v>139.86564776441608</v>
      </c>
      <c r="E73" s="53">
        <f t="shared" si="21"/>
        <v>559.46259105766433</v>
      </c>
      <c r="F73" s="53">
        <f t="shared" si="21"/>
        <v>6713.5510926919724</v>
      </c>
      <c r="I73"/>
      <c r="J73"/>
      <c r="K73"/>
    </row>
    <row r="74" spans="1:11" s="7" customFormat="1" x14ac:dyDescent="0.25">
      <c r="A74" s="66" t="s">
        <v>91</v>
      </c>
      <c r="B74" s="149">
        <f>IFERROR(B72/B73,"")</f>
        <v>0</v>
      </c>
      <c r="C74" s="150"/>
      <c r="D74" s="151"/>
      <c r="E74" s="99">
        <f>IFERROR(E72/E70,"")</f>
        <v>0.43345560399223865</v>
      </c>
      <c r="F74" s="99">
        <f>IFERROR(F72/F70,"")</f>
        <v>0.43345560399223859</v>
      </c>
      <c r="G74" s="42"/>
      <c r="H74" s="42"/>
      <c r="I74"/>
      <c r="J74" s="67"/>
      <c r="K74" s="67"/>
    </row>
    <row r="75" spans="1:11" x14ac:dyDescent="0.25">
      <c r="I75"/>
    </row>
    <row r="76" spans="1:11" x14ac:dyDescent="0.25">
      <c r="F76" s="68"/>
    </row>
    <row r="77" spans="1:11" ht="15.75" x14ac:dyDescent="0.25">
      <c r="A77" s="59" t="s">
        <v>94</v>
      </c>
      <c r="F77" s="69"/>
    </row>
    <row r="79" spans="1:11" s="41" customFormat="1" x14ac:dyDescent="0.25">
      <c r="A79" s="62" t="s">
        <v>161</v>
      </c>
      <c r="B79" s="70"/>
      <c r="C79" s="70"/>
      <c r="D79" s="70"/>
      <c r="E79" s="70"/>
      <c r="F79" s="62"/>
      <c r="G79" s="70"/>
      <c r="H79" s="70"/>
      <c r="I79" s="70"/>
      <c r="J79" s="70"/>
      <c r="K79" s="70"/>
    </row>
    <row r="80" spans="1:11" s="41" customFormat="1" ht="30" x14ac:dyDescent="0.25">
      <c r="A80" s="52" t="s">
        <v>30</v>
      </c>
      <c r="B80" s="71" t="s">
        <v>31</v>
      </c>
      <c r="C80" s="71" t="s">
        <v>32</v>
      </c>
      <c r="D80" s="71" t="s">
        <v>164</v>
      </c>
      <c r="E80" s="70"/>
      <c r="F80" s="70"/>
      <c r="G80" s="70"/>
      <c r="H80" s="70"/>
      <c r="I80" s="70"/>
      <c r="J80" s="70"/>
      <c r="K80" s="70"/>
    </row>
    <row r="81" spans="1:11" s="41" customFormat="1" x14ac:dyDescent="0.25">
      <c r="A81" s="72"/>
      <c r="B81" s="72"/>
      <c r="C81" s="72"/>
      <c r="D81" s="72"/>
      <c r="E81" s="70"/>
      <c r="F81" s="70"/>
      <c r="G81" s="70"/>
      <c r="H81" s="70"/>
      <c r="I81" s="70"/>
      <c r="J81" s="70"/>
      <c r="K81" s="70"/>
    </row>
    <row r="82" spans="1:11" s="41" customFormat="1" x14ac:dyDescent="0.25">
      <c r="A82" s="72"/>
      <c r="B82" s="72"/>
      <c r="C82" s="72"/>
      <c r="D82" s="72"/>
      <c r="E82" s="70"/>
      <c r="F82" s="70"/>
      <c r="G82" s="70"/>
      <c r="H82" s="70"/>
      <c r="I82" s="70"/>
      <c r="J82" s="70"/>
      <c r="K82" s="70"/>
    </row>
    <row r="83" spans="1:11" s="41" customFormat="1" x14ac:dyDescent="0.25">
      <c r="A83" s="72"/>
      <c r="B83" s="72"/>
      <c r="C83" s="72"/>
      <c r="D83" s="72"/>
      <c r="E83" s="70"/>
      <c r="F83" s="70"/>
      <c r="G83" s="70"/>
      <c r="H83" s="70"/>
      <c r="I83" s="70"/>
      <c r="J83" s="70"/>
      <c r="K83" s="70"/>
    </row>
    <row r="84" spans="1:11" s="41" customFormat="1" x14ac:dyDescent="0.25">
      <c r="A84" s="72"/>
      <c r="B84" s="72"/>
      <c r="C84" s="72"/>
      <c r="D84" s="72"/>
      <c r="E84" s="70"/>
      <c r="F84" s="62"/>
      <c r="G84" s="70"/>
      <c r="H84" s="70"/>
      <c r="I84" s="70"/>
      <c r="J84" s="70"/>
      <c r="K84" s="70"/>
    </row>
    <row r="85" spans="1:11" s="41" customFormat="1" x14ac:dyDescent="0.25">
      <c r="A85" s="72"/>
      <c r="B85" s="72"/>
      <c r="C85" s="72"/>
      <c r="D85" s="72"/>
      <c r="E85" s="70"/>
      <c r="F85" s="62"/>
      <c r="G85" s="70"/>
      <c r="H85" s="70"/>
      <c r="I85" s="70"/>
      <c r="J85" s="70"/>
      <c r="K85" s="70"/>
    </row>
    <row r="86" spans="1:11" s="41" customFormat="1" x14ac:dyDescent="0.25">
      <c r="A86" s="53" t="s">
        <v>163</v>
      </c>
      <c r="B86" s="53">
        <f>SUM(B81:B85)</f>
        <v>0</v>
      </c>
      <c r="C86" s="53"/>
      <c r="D86" s="53">
        <f>SUM(D81:D85)</f>
        <v>0</v>
      </c>
      <c r="E86" s="70"/>
      <c r="F86" s="70"/>
      <c r="G86" s="70"/>
      <c r="H86" s="70"/>
      <c r="I86" s="70"/>
      <c r="J86" s="70"/>
      <c r="K86" s="70"/>
    </row>
    <row r="87" spans="1:11" s="41" customFormat="1" x14ac:dyDescent="0.25">
      <c r="A87" s="70"/>
      <c r="B87" s="70"/>
      <c r="C87" s="70"/>
      <c r="D87" s="70"/>
      <c r="E87" s="70"/>
      <c r="F87" s="62"/>
      <c r="G87" s="70"/>
      <c r="H87" s="70"/>
      <c r="I87" s="70"/>
      <c r="J87" s="70"/>
      <c r="K87" s="70"/>
    </row>
    <row r="88" spans="1:11" x14ac:dyDescent="0.25">
      <c r="A88" s="56" t="s">
        <v>162</v>
      </c>
    </row>
    <row r="89" spans="1:11" x14ac:dyDescent="0.25">
      <c r="A89" s="52" t="s">
        <v>33</v>
      </c>
      <c r="B89" s="52" t="s">
        <v>194</v>
      </c>
    </row>
    <row r="90" spans="1:11" x14ac:dyDescent="0.25">
      <c r="A90" s="72"/>
      <c r="B90" s="72"/>
    </row>
    <row r="91" spans="1:11" x14ac:dyDescent="0.25">
      <c r="A91" s="72"/>
      <c r="B91" s="72"/>
    </row>
    <row r="92" spans="1:11" x14ac:dyDescent="0.25">
      <c r="A92" s="72"/>
      <c r="B92" s="72"/>
    </row>
    <row r="93" spans="1:11" x14ac:dyDescent="0.25">
      <c r="A93" s="72"/>
      <c r="B93" s="72"/>
    </row>
    <row r="94" spans="1:11" x14ac:dyDescent="0.25">
      <c r="A94" s="72"/>
      <c r="B94" s="72"/>
    </row>
    <row r="95" spans="1:11" x14ac:dyDescent="0.25">
      <c r="A95" s="72"/>
      <c r="B95" s="72"/>
    </row>
    <row r="96" spans="1:11" x14ac:dyDescent="0.25">
      <c r="A96" s="53" t="s">
        <v>34</v>
      </c>
      <c r="B96" s="53">
        <f>SUM(B90:B95)</f>
        <v>0</v>
      </c>
    </row>
    <row r="99" spans="1:9" ht="15.75" x14ac:dyDescent="0.25">
      <c r="A99" s="59" t="s">
        <v>166</v>
      </c>
    </row>
    <row r="100" spans="1:9" x14ac:dyDescent="0.25">
      <c r="A100" s="5" t="s">
        <v>236</v>
      </c>
      <c r="B100" s="74"/>
      <c r="C100" s="74"/>
      <c r="D100" s="74"/>
      <c r="E100" s="74"/>
      <c r="F100" s="74"/>
      <c r="G100" s="74"/>
      <c r="H100" s="74"/>
      <c r="I100" s="75"/>
    </row>
    <row r="101" spans="1:9" x14ac:dyDescent="0.25">
      <c r="A101" s="5" t="s">
        <v>237</v>
      </c>
      <c r="B101" s="77"/>
      <c r="C101" s="77"/>
      <c r="D101" s="77"/>
      <c r="E101" s="77"/>
      <c r="F101" s="77"/>
      <c r="G101" s="77"/>
      <c r="H101" s="77"/>
      <c r="I101" s="78"/>
    </row>
    <row r="102" spans="1:9" x14ac:dyDescent="0.25">
      <c r="A102" s="5" t="s">
        <v>238</v>
      </c>
      <c r="B102" s="77"/>
      <c r="C102" s="77"/>
      <c r="D102" s="77"/>
      <c r="E102" s="77"/>
      <c r="F102" s="77"/>
      <c r="G102" s="77"/>
      <c r="H102" s="77"/>
      <c r="I102" s="78"/>
    </row>
    <row r="103" spans="1:9" x14ac:dyDescent="0.25">
      <c r="A103" s="76" t="s">
        <v>239</v>
      </c>
      <c r="B103" s="77"/>
      <c r="C103" s="77"/>
      <c r="D103" s="77"/>
      <c r="E103" s="77"/>
      <c r="F103" s="77"/>
      <c r="G103" s="77"/>
      <c r="H103" s="77"/>
      <c r="I103" s="78"/>
    </row>
    <row r="104" spans="1:9" x14ac:dyDescent="0.25">
      <c r="A104" s="79"/>
      <c r="B104" s="80"/>
      <c r="C104" s="80"/>
      <c r="D104" s="80"/>
      <c r="E104" s="80"/>
      <c r="F104" s="80"/>
      <c r="G104" s="80"/>
      <c r="H104" s="80"/>
      <c r="I104" s="81"/>
    </row>
    <row r="106" spans="1:9" ht="15.75" x14ac:dyDescent="0.25">
      <c r="A106" s="59" t="s">
        <v>167</v>
      </c>
    </row>
    <row r="107" spans="1:9" x14ac:dyDescent="0.25">
      <c r="A107" s="5" t="s">
        <v>240</v>
      </c>
      <c r="B107" s="73"/>
      <c r="C107" s="74"/>
      <c r="D107" s="74"/>
      <c r="E107" s="74"/>
      <c r="F107" s="74"/>
      <c r="G107" s="74"/>
      <c r="H107" s="74"/>
      <c r="I107" s="75"/>
    </row>
    <row r="108" spans="1:9" x14ac:dyDescent="0.25">
      <c r="A108" s="5" t="s">
        <v>243</v>
      </c>
      <c r="B108" s="77"/>
      <c r="C108" s="77"/>
      <c r="D108" s="77"/>
      <c r="E108" s="77"/>
      <c r="F108" s="77"/>
      <c r="G108" s="77"/>
      <c r="H108" s="77"/>
      <c r="I108" s="78"/>
    </row>
    <row r="109" spans="1:9" x14ac:dyDescent="0.25">
      <c r="A109" s="5"/>
      <c r="B109" s="77"/>
      <c r="C109" s="77"/>
      <c r="D109" s="77"/>
      <c r="E109" s="77"/>
      <c r="F109" s="77"/>
      <c r="G109" s="77"/>
      <c r="H109" s="77"/>
      <c r="I109" s="78"/>
    </row>
    <row r="110" spans="1:9" x14ac:dyDescent="0.25">
      <c r="A110" s="5"/>
      <c r="B110" s="77"/>
      <c r="C110" s="77"/>
      <c r="D110" s="77"/>
      <c r="E110" s="77"/>
      <c r="F110" s="77"/>
      <c r="G110" s="77"/>
      <c r="H110" s="77"/>
      <c r="I110" s="78"/>
    </row>
    <row r="111" spans="1:9" x14ac:dyDescent="0.25">
      <c r="A111" s="79"/>
      <c r="B111" s="80"/>
      <c r="C111" s="80"/>
      <c r="D111" s="80"/>
      <c r="E111" s="80"/>
      <c r="F111" s="80"/>
      <c r="G111" s="80"/>
      <c r="H111" s="80"/>
      <c r="I111" s="81"/>
    </row>
  </sheetData>
  <sheetProtection algorithmName="SHA-512" hashValue="DmwSkBQN1WFnXagAfzdwvU1UDbFNJN5lVeLehifryyHjlyiuTqgxa06RkCzjJuMbElICDS+rk2VwIwu/28Pu2A==" saltValue="OLBhENhyk5ciTCTLJT29ew==" spinCount="100000" sheet="1" objects="1" scenarios="1" formatColumns="0" formatRows="0"/>
  <mergeCells count="4">
    <mergeCell ref="B72:C72"/>
    <mergeCell ref="B4:C4"/>
    <mergeCell ref="D4:F4"/>
    <mergeCell ref="B74:D74"/>
  </mergeCells>
  <hyperlinks>
    <hyperlink ref="D1" location="Financials!A20" display="Business Income Statement"/>
    <hyperlink ref="G1" location="Financials!A62" display="HouseholdCashflow"/>
    <hyperlink ref="I1" location="Financials!A104" display="BalanceSheet"/>
  </hyperlinks>
  <pageMargins left="0.7" right="0.7" top="0.75" bottom="0.75" header="0.3" footer="0.3"/>
  <pageSetup scale="82" orientation="landscape" r:id="rId1"/>
  <headerFooter>
    <oddHeader>&amp;CFINANCIALS</oddHeader>
    <oddFooter>Page &amp;P</oddFooter>
  </headerFooter>
  <rowBreaks count="2" manualBreakCount="2">
    <brk id="35" max="10" man="1"/>
    <brk id="76" max="10" man="1"/>
  </rowBreaks>
  <colBreaks count="1" manualBreakCount="1">
    <brk id="11" max="2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S36"/>
  <sheetViews>
    <sheetView showGridLines="0" view="pageBreakPreview" topLeftCell="A7" zoomScale="60" zoomScaleNormal="80" workbookViewId="0">
      <selection activeCell="B30" sqref="B30"/>
    </sheetView>
  </sheetViews>
  <sheetFormatPr defaultRowHeight="15" x14ac:dyDescent="0.25"/>
  <cols>
    <col min="1" max="1" width="95.42578125" customWidth="1"/>
    <col min="3" max="3" width="12" customWidth="1"/>
    <col min="4" max="4" width="12.42578125" customWidth="1"/>
    <col min="5" max="5" width="9.140625" style="4" hidden="1" customWidth="1"/>
    <col min="6" max="19" width="9.140625" hidden="1" customWidth="1"/>
    <col min="21" max="21" width="66.5703125" bestFit="1" customWidth="1"/>
  </cols>
  <sheetData>
    <row r="2" spans="1:17" ht="20.25" x14ac:dyDescent="0.3">
      <c r="A2" s="102" t="s">
        <v>48</v>
      </c>
      <c r="B2" s="103"/>
      <c r="C2" s="103"/>
      <c r="D2" s="103"/>
    </row>
    <row r="3" spans="1:17" ht="20.25" x14ac:dyDescent="0.3">
      <c r="A3" s="104" t="s">
        <v>39</v>
      </c>
      <c r="B3" s="105" t="s">
        <v>52</v>
      </c>
      <c r="C3" s="105" t="s">
        <v>53</v>
      </c>
      <c r="D3" s="105" t="s">
        <v>54</v>
      </c>
    </row>
    <row r="4" spans="1:17" ht="20.25" x14ac:dyDescent="0.3">
      <c r="A4" s="106" t="s">
        <v>110</v>
      </c>
      <c r="B4" s="106">
        <f>Assesment!C10</f>
        <v>4</v>
      </c>
      <c r="C4" s="107">
        <v>0.05</v>
      </c>
      <c r="D4" s="106">
        <f>B4*$C$4</f>
        <v>0.2</v>
      </c>
      <c r="G4" s="3">
        <v>0</v>
      </c>
      <c r="I4" s="3">
        <v>1</v>
      </c>
      <c r="K4" s="3">
        <v>2</v>
      </c>
      <c r="M4" s="3">
        <v>3</v>
      </c>
      <c r="O4" s="3">
        <v>4</v>
      </c>
      <c r="P4" s="2"/>
      <c r="Q4" s="3">
        <v>5</v>
      </c>
    </row>
    <row r="5" spans="1:17" ht="20.25" x14ac:dyDescent="0.3">
      <c r="A5" s="106" t="s">
        <v>56</v>
      </c>
      <c r="B5" s="106">
        <f>Assesment!C11</f>
        <v>3</v>
      </c>
      <c r="C5" s="107">
        <v>7.0000000000000007E-2</v>
      </c>
      <c r="D5" s="106">
        <f t="shared" ref="D5:D8" si="0">B5*$C$4</f>
        <v>0.15000000000000002</v>
      </c>
      <c r="G5" s="3">
        <v>0</v>
      </c>
      <c r="I5" s="3">
        <v>1</v>
      </c>
      <c r="K5" s="3">
        <v>2</v>
      </c>
      <c r="M5" s="3">
        <v>3</v>
      </c>
      <c r="O5" s="3">
        <v>4</v>
      </c>
      <c r="P5" s="2"/>
      <c r="Q5" s="3">
        <v>5</v>
      </c>
    </row>
    <row r="6" spans="1:17" ht="20.25" x14ac:dyDescent="0.3">
      <c r="A6" s="106" t="s">
        <v>111</v>
      </c>
      <c r="B6" s="106">
        <f>Assesment!C12</f>
        <v>3</v>
      </c>
      <c r="C6" s="107">
        <v>0.1</v>
      </c>
      <c r="D6" s="106">
        <f t="shared" si="0"/>
        <v>0.15000000000000002</v>
      </c>
      <c r="G6" s="3">
        <v>0</v>
      </c>
      <c r="I6" s="3">
        <v>1</v>
      </c>
      <c r="K6" s="3">
        <v>2</v>
      </c>
      <c r="M6" s="3">
        <v>3</v>
      </c>
      <c r="O6" s="3">
        <v>4</v>
      </c>
      <c r="P6" s="2"/>
      <c r="Q6" s="3">
        <v>5</v>
      </c>
    </row>
    <row r="7" spans="1:17" ht="20.25" x14ac:dyDescent="0.3">
      <c r="A7" s="106" t="s">
        <v>47</v>
      </c>
      <c r="B7" s="106">
        <f>Assesment!C13</f>
        <v>3</v>
      </c>
      <c r="C7" s="107">
        <v>0.04</v>
      </c>
      <c r="D7" s="106">
        <f t="shared" si="0"/>
        <v>0.15000000000000002</v>
      </c>
      <c r="G7" s="3">
        <v>0</v>
      </c>
      <c r="I7" s="3">
        <v>1</v>
      </c>
      <c r="K7" s="3">
        <v>2</v>
      </c>
      <c r="M7" s="3">
        <v>3</v>
      </c>
      <c r="O7" s="3">
        <v>4</v>
      </c>
      <c r="P7" s="2"/>
      <c r="Q7" s="3">
        <v>5</v>
      </c>
    </row>
    <row r="8" spans="1:17" ht="20.25" x14ac:dyDescent="0.3">
      <c r="A8" s="106" t="s">
        <v>112</v>
      </c>
      <c r="B8" s="106">
        <f>Assesment!C14</f>
        <v>4</v>
      </c>
      <c r="C8" s="107">
        <v>0.04</v>
      </c>
      <c r="D8" s="106">
        <f t="shared" si="0"/>
        <v>0.2</v>
      </c>
      <c r="G8" s="3">
        <v>0</v>
      </c>
      <c r="I8" s="3">
        <v>1</v>
      </c>
      <c r="K8" s="3">
        <v>2</v>
      </c>
      <c r="M8" s="3">
        <v>3</v>
      </c>
      <c r="O8" s="3">
        <v>4</v>
      </c>
      <c r="P8" s="2"/>
      <c r="Q8" s="3">
        <v>5</v>
      </c>
    </row>
    <row r="9" spans="1:17" ht="20.25" x14ac:dyDescent="0.3">
      <c r="A9" s="103"/>
      <c r="B9" s="103"/>
      <c r="C9" s="108">
        <f>SUM(C4:C8)</f>
        <v>0.3</v>
      </c>
      <c r="D9" s="109">
        <f>SUM(D4:D8)</f>
        <v>0.85000000000000009</v>
      </c>
      <c r="E9" s="6">
        <f>D9/1.25*C9</f>
        <v>0.20400000000000001</v>
      </c>
    </row>
    <row r="10" spans="1:17" ht="20.25" x14ac:dyDescent="0.3">
      <c r="A10" s="110" t="s">
        <v>49</v>
      </c>
      <c r="B10" s="103"/>
      <c r="C10" s="111"/>
      <c r="D10" s="103"/>
    </row>
    <row r="11" spans="1:17" ht="20.25" x14ac:dyDescent="0.3">
      <c r="A11" s="104" t="s">
        <v>39</v>
      </c>
      <c r="B11" s="105" t="s">
        <v>52</v>
      </c>
      <c r="C11" s="112" t="s">
        <v>53</v>
      </c>
      <c r="D11" s="105" t="s">
        <v>54</v>
      </c>
    </row>
    <row r="12" spans="1:17" ht="20.25" x14ac:dyDescent="0.3">
      <c r="A12" s="106" t="s">
        <v>113</v>
      </c>
      <c r="B12" s="106">
        <f>Assesment!C18</f>
        <v>4</v>
      </c>
      <c r="C12" s="107">
        <v>0.06</v>
      </c>
      <c r="D12" s="106">
        <f>B12*$C$12</f>
        <v>0.24</v>
      </c>
      <c r="G12" s="3">
        <v>0</v>
      </c>
      <c r="I12" s="3">
        <v>1</v>
      </c>
      <c r="K12" s="3">
        <v>2</v>
      </c>
      <c r="M12" s="3">
        <v>3</v>
      </c>
      <c r="O12" s="3">
        <v>4</v>
      </c>
      <c r="P12" s="2"/>
      <c r="Q12" s="3">
        <v>5</v>
      </c>
    </row>
    <row r="13" spans="1:17" ht="20.25" x14ac:dyDescent="0.3">
      <c r="A13" s="106" t="s">
        <v>114</v>
      </c>
      <c r="B13" s="106">
        <f>Assesment!C19</f>
        <v>3</v>
      </c>
      <c r="C13" s="107">
        <v>0.06</v>
      </c>
      <c r="D13" s="106">
        <f t="shared" ref="D13:D16" si="1">B13*$C$12</f>
        <v>0.18</v>
      </c>
      <c r="G13" s="3">
        <v>0</v>
      </c>
      <c r="I13" s="3">
        <v>1</v>
      </c>
      <c r="K13" s="3">
        <v>2</v>
      </c>
      <c r="M13" s="3">
        <v>3</v>
      </c>
      <c r="O13" s="3">
        <v>4</v>
      </c>
      <c r="P13" s="2"/>
      <c r="Q13" s="3">
        <v>5</v>
      </c>
    </row>
    <row r="14" spans="1:17" ht="20.25" x14ac:dyDescent="0.3">
      <c r="A14" s="106" t="s">
        <v>115</v>
      </c>
      <c r="B14" s="106">
        <f>Assesment!C20</f>
        <v>3</v>
      </c>
      <c r="C14" s="107">
        <v>7.0000000000000007E-2</v>
      </c>
      <c r="D14" s="106">
        <f t="shared" si="1"/>
        <v>0.18</v>
      </c>
      <c r="G14" s="3">
        <v>0</v>
      </c>
      <c r="I14" s="3">
        <v>1</v>
      </c>
      <c r="K14" s="3">
        <v>2</v>
      </c>
      <c r="M14" s="3">
        <v>3</v>
      </c>
      <c r="O14" s="3">
        <v>4</v>
      </c>
      <c r="P14" s="2"/>
      <c r="Q14" s="3">
        <v>5</v>
      </c>
    </row>
    <row r="15" spans="1:17" ht="20.25" x14ac:dyDescent="0.3">
      <c r="A15" s="106" t="s">
        <v>123</v>
      </c>
      <c r="B15" s="106">
        <f>Assesment!C21</f>
        <v>3</v>
      </c>
      <c r="C15" s="107">
        <v>0.04</v>
      </c>
      <c r="D15" s="106">
        <f t="shared" si="1"/>
        <v>0.18</v>
      </c>
      <c r="G15" s="3">
        <v>0</v>
      </c>
      <c r="I15" s="3">
        <v>1</v>
      </c>
      <c r="K15" s="3">
        <v>2</v>
      </c>
      <c r="M15" s="3">
        <v>3</v>
      </c>
      <c r="O15" s="3">
        <v>4</v>
      </c>
      <c r="P15" s="2"/>
      <c r="Q15" s="3">
        <v>5</v>
      </c>
    </row>
    <row r="16" spans="1:17" ht="20.25" x14ac:dyDescent="0.3">
      <c r="A16" s="106" t="s">
        <v>57</v>
      </c>
      <c r="B16" s="106">
        <f>Assesment!C22</f>
        <v>4</v>
      </c>
      <c r="C16" s="107">
        <v>0.02</v>
      </c>
      <c r="D16" s="106">
        <f t="shared" si="1"/>
        <v>0.24</v>
      </c>
      <c r="G16" s="3">
        <v>0</v>
      </c>
      <c r="I16" s="3">
        <v>1</v>
      </c>
      <c r="K16" s="3">
        <v>2</v>
      </c>
      <c r="M16" s="3">
        <v>3</v>
      </c>
      <c r="O16" s="3">
        <v>4</v>
      </c>
      <c r="P16" s="2"/>
      <c r="Q16" s="3">
        <v>5</v>
      </c>
    </row>
    <row r="17" spans="1:17" ht="20.25" x14ac:dyDescent="0.3">
      <c r="A17" s="103"/>
      <c r="B17" s="103"/>
      <c r="C17" s="112">
        <f>SUM(C12:C16)</f>
        <v>0.25</v>
      </c>
      <c r="D17" s="109">
        <f>SUM(D12:D16)</f>
        <v>1.02</v>
      </c>
      <c r="E17" s="6">
        <f>D17/1.5*C17</f>
        <v>0.17</v>
      </c>
    </row>
    <row r="18" spans="1:17" ht="20.25" x14ac:dyDescent="0.3">
      <c r="A18" s="113" t="s">
        <v>50</v>
      </c>
      <c r="B18" s="103"/>
      <c r="C18" s="111"/>
      <c r="D18" s="103"/>
    </row>
    <row r="19" spans="1:17" ht="20.25" x14ac:dyDescent="0.3">
      <c r="A19" s="104" t="s">
        <v>39</v>
      </c>
      <c r="B19" s="105" t="s">
        <v>52</v>
      </c>
      <c r="C19" s="112" t="s">
        <v>53</v>
      </c>
      <c r="D19" s="105" t="s">
        <v>54</v>
      </c>
    </row>
    <row r="20" spans="1:17" ht="20.25" x14ac:dyDescent="0.3">
      <c r="A20" s="106" t="s">
        <v>116</v>
      </c>
      <c r="B20" s="106">
        <f>Assesment!C26</f>
        <v>3</v>
      </c>
      <c r="C20" s="107">
        <v>0.06</v>
      </c>
      <c r="D20" s="106">
        <f>B20*$C$20</f>
        <v>0.18</v>
      </c>
      <c r="G20" s="3">
        <v>0</v>
      </c>
      <c r="I20" s="3">
        <v>1</v>
      </c>
      <c r="K20" s="3">
        <v>2</v>
      </c>
      <c r="M20" s="3">
        <v>3</v>
      </c>
      <c r="O20" s="3">
        <v>4</v>
      </c>
      <c r="P20" s="2"/>
      <c r="Q20" s="3">
        <v>5</v>
      </c>
    </row>
    <row r="21" spans="1:17" ht="20.25" x14ac:dyDescent="0.3">
      <c r="A21" s="106" t="s">
        <v>117</v>
      </c>
      <c r="B21" s="106">
        <f>Assesment!C27</f>
        <v>3</v>
      </c>
      <c r="C21" s="107">
        <v>0.03</v>
      </c>
      <c r="D21" s="106">
        <f t="shared" ref="D21:D23" si="2">B21*$C$20</f>
        <v>0.18</v>
      </c>
      <c r="G21" s="3">
        <v>0</v>
      </c>
      <c r="I21" s="3">
        <v>1</v>
      </c>
      <c r="K21" s="3">
        <v>2</v>
      </c>
      <c r="M21" s="3">
        <v>3</v>
      </c>
      <c r="O21" s="3">
        <v>4</v>
      </c>
      <c r="P21" s="2"/>
      <c r="Q21" s="3">
        <v>5</v>
      </c>
    </row>
    <row r="22" spans="1:17" ht="20.25" x14ac:dyDescent="0.3">
      <c r="A22" s="106" t="s">
        <v>58</v>
      </c>
      <c r="B22" s="106">
        <f>Assesment!C28</f>
        <v>3</v>
      </c>
      <c r="C22" s="107">
        <v>0.08</v>
      </c>
      <c r="D22" s="106">
        <f t="shared" si="2"/>
        <v>0.18</v>
      </c>
      <c r="G22" s="3">
        <v>0</v>
      </c>
      <c r="I22" s="3">
        <v>1</v>
      </c>
      <c r="K22" s="3">
        <v>2</v>
      </c>
      <c r="M22" s="3">
        <v>3</v>
      </c>
      <c r="O22" s="3">
        <v>4</v>
      </c>
      <c r="P22" s="2"/>
      <c r="Q22" s="3">
        <v>5</v>
      </c>
    </row>
    <row r="23" spans="1:17" ht="20.25" x14ac:dyDescent="0.3">
      <c r="A23" s="106" t="s">
        <v>118</v>
      </c>
      <c r="B23" s="106">
        <f>Assesment!C29</f>
        <v>3</v>
      </c>
      <c r="C23" s="107">
        <v>0.03</v>
      </c>
      <c r="D23" s="106">
        <f t="shared" si="2"/>
        <v>0.18</v>
      </c>
      <c r="G23" s="3">
        <v>0</v>
      </c>
      <c r="I23" s="3">
        <v>1</v>
      </c>
      <c r="K23" s="3">
        <v>2</v>
      </c>
      <c r="M23" s="3">
        <v>3</v>
      </c>
      <c r="O23" s="3">
        <v>4</v>
      </c>
      <c r="P23" s="2"/>
      <c r="Q23" s="3">
        <v>5</v>
      </c>
    </row>
    <row r="24" spans="1:17" ht="20.25" x14ac:dyDescent="0.3">
      <c r="A24" s="103"/>
      <c r="B24" s="103"/>
      <c r="C24" s="112">
        <f>SUM(C20:C23)</f>
        <v>0.19999999999999998</v>
      </c>
      <c r="D24" s="105">
        <f>SUM(D20:D23)</f>
        <v>0.72</v>
      </c>
      <c r="E24" s="6">
        <f>D24/1.2*C24</f>
        <v>0.11999999999999998</v>
      </c>
    </row>
    <row r="25" spans="1:17" ht="20.25" x14ac:dyDescent="0.3">
      <c r="A25" s="114" t="s">
        <v>97</v>
      </c>
      <c r="B25" s="103"/>
      <c r="C25" s="111"/>
      <c r="D25" s="103"/>
    </row>
    <row r="26" spans="1:17" ht="20.25" x14ac:dyDescent="0.3">
      <c r="A26" s="104" t="s">
        <v>39</v>
      </c>
      <c r="B26" s="105" t="s">
        <v>52</v>
      </c>
      <c r="C26" s="112" t="s">
        <v>53</v>
      </c>
      <c r="D26" s="105" t="s">
        <v>54</v>
      </c>
    </row>
    <row r="27" spans="1:17" ht="20.25" x14ac:dyDescent="0.3">
      <c r="A27" s="105" t="s">
        <v>99</v>
      </c>
      <c r="B27" s="106">
        <f>IF(Financials!$E$30&gt;0,5,0)</f>
        <v>5</v>
      </c>
      <c r="C27" s="107">
        <v>0.03</v>
      </c>
      <c r="D27" s="115">
        <f>B27*C27</f>
        <v>0.15</v>
      </c>
      <c r="G27" s="3" t="s">
        <v>55</v>
      </c>
      <c r="H27">
        <v>5</v>
      </c>
      <c r="I27" s="3" t="s">
        <v>40</v>
      </c>
      <c r="J27">
        <v>0</v>
      </c>
    </row>
    <row r="28" spans="1:17" ht="20.25" x14ac:dyDescent="0.3">
      <c r="A28" s="105" t="s">
        <v>96</v>
      </c>
      <c r="B28" s="106">
        <f>IF(Financials!$E$70&gt;0,5,0)</f>
        <v>5</v>
      </c>
      <c r="C28" s="107">
        <v>0.08</v>
      </c>
      <c r="D28" s="115">
        <f t="shared" ref="D28:D29" si="3">B28*C28</f>
        <v>0.4</v>
      </c>
      <c r="G28" s="3" t="s">
        <v>55</v>
      </c>
      <c r="H28">
        <v>5</v>
      </c>
      <c r="I28" s="3" t="s">
        <v>40</v>
      </c>
      <c r="J28">
        <v>0</v>
      </c>
    </row>
    <row r="29" spans="1:17" ht="20.25" x14ac:dyDescent="0.3">
      <c r="A29" s="105" t="s">
        <v>98</v>
      </c>
      <c r="B29" s="106">
        <f>IF(Financials!$E$74&lt;50,5,0)</f>
        <v>5</v>
      </c>
      <c r="C29" s="107">
        <v>0.04</v>
      </c>
      <c r="D29" s="115">
        <f t="shared" si="3"/>
        <v>0.2</v>
      </c>
      <c r="G29" s="3" t="s">
        <v>55</v>
      </c>
      <c r="H29">
        <v>5</v>
      </c>
      <c r="I29" s="3" t="s">
        <v>40</v>
      </c>
      <c r="J29">
        <v>0</v>
      </c>
    </row>
    <row r="30" spans="1:17" ht="20.25" x14ac:dyDescent="0.3">
      <c r="A30" s="103"/>
      <c r="B30" s="103"/>
      <c r="C30" s="112">
        <f>SUM(C27:C29)</f>
        <v>0.15</v>
      </c>
      <c r="D30" s="105">
        <f>SUM(D27:D29)</f>
        <v>0.75</v>
      </c>
      <c r="E30" s="6">
        <f>D30/0.75*C30</f>
        <v>0.15</v>
      </c>
    </row>
    <row r="31" spans="1:17" ht="20.25" x14ac:dyDescent="0.3">
      <c r="A31" s="116" t="s">
        <v>51</v>
      </c>
      <c r="B31" s="103"/>
      <c r="C31" s="111"/>
      <c r="D31" s="103"/>
    </row>
    <row r="32" spans="1:17" ht="20.25" x14ac:dyDescent="0.3">
      <c r="A32" s="104" t="s">
        <v>39</v>
      </c>
      <c r="B32" s="105" t="s">
        <v>52</v>
      </c>
      <c r="C32" s="112" t="s">
        <v>53</v>
      </c>
      <c r="D32" s="105" t="s">
        <v>54</v>
      </c>
    </row>
    <row r="33" spans="1:10" ht="20.25" x14ac:dyDescent="0.3">
      <c r="A33" s="106" t="s">
        <v>45</v>
      </c>
      <c r="B33" s="106">
        <f>IF(Assesment!C5="Yes",5, IF(Assesment!C5="N/A",5, IF(Assesment!C5="No",0,0)))</f>
        <v>5</v>
      </c>
      <c r="C33" s="107">
        <v>0.04</v>
      </c>
      <c r="D33" s="106">
        <f>B33*$C$33</f>
        <v>0.2</v>
      </c>
      <c r="G33" s="3" t="s">
        <v>55</v>
      </c>
      <c r="H33">
        <v>5</v>
      </c>
      <c r="I33" s="3" t="s">
        <v>40</v>
      </c>
      <c r="J33">
        <v>0</v>
      </c>
    </row>
    <row r="34" spans="1:10" ht="20.25" x14ac:dyDescent="0.3">
      <c r="A34" s="106" t="s">
        <v>46</v>
      </c>
      <c r="B34" s="106">
        <f>IF(Assesment!C6="No",5,0)</f>
        <v>5</v>
      </c>
      <c r="C34" s="107">
        <v>0.06</v>
      </c>
      <c r="D34" s="106">
        <f>B34*$C$33</f>
        <v>0.2</v>
      </c>
      <c r="G34" s="3" t="s">
        <v>55</v>
      </c>
      <c r="H34">
        <v>5</v>
      </c>
      <c r="I34" s="3" t="s">
        <v>40</v>
      </c>
      <c r="J34">
        <v>0</v>
      </c>
    </row>
    <row r="35" spans="1:10" ht="20.25" x14ac:dyDescent="0.3">
      <c r="A35" s="103"/>
      <c r="B35" s="103"/>
      <c r="C35" s="117">
        <f>SUM(C33:C34)</f>
        <v>0.1</v>
      </c>
      <c r="D35" s="105">
        <f>SUM(D33:D34)</f>
        <v>0.4</v>
      </c>
      <c r="E35" s="6">
        <f>D35/0.4*C35</f>
        <v>0.1</v>
      </c>
    </row>
    <row r="36" spans="1:10" ht="20.25" x14ac:dyDescent="0.3">
      <c r="A36" s="103"/>
      <c r="B36" s="103"/>
      <c r="C36" s="103"/>
      <c r="D36" s="103"/>
    </row>
  </sheetData>
  <pageMargins left="0.7" right="0.7" top="0.75" bottom="0.75" header="0.3" footer="0.3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40"/>
  <sheetViews>
    <sheetView showGridLines="0" zoomScaleNormal="100" workbookViewId="0">
      <selection activeCell="J11" sqref="J11"/>
    </sheetView>
  </sheetViews>
  <sheetFormatPr defaultRowHeight="15" x14ac:dyDescent="0.25"/>
  <cols>
    <col min="1" max="1" width="11.42578125" style="5" bestFit="1" customWidth="1"/>
    <col min="2" max="2" width="23.42578125" style="5" bestFit="1" customWidth="1"/>
    <col min="3" max="4" width="10.42578125" style="5" customWidth="1"/>
    <col min="5" max="5" width="9.140625" style="5" customWidth="1"/>
    <col min="6" max="16384" width="9.140625" style="5"/>
  </cols>
  <sheetData>
    <row r="1" spans="1:4" x14ac:dyDescent="0.25">
      <c r="A1" s="5" t="s">
        <v>165</v>
      </c>
    </row>
    <row r="2" spans="1:4" x14ac:dyDescent="0.25">
      <c r="B2" s="82" t="s">
        <v>102</v>
      </c>
    </row>
    <row r="3" spans="1:4" x14ac:dyDescent="0.25">
      <c r="B3" s="53"/>
      <c r="C3" s="53" t="s">
        <v>53</v>
      </c>
      <c r="D3" s="53" t="s">
        <v>54</v>
      </c>
    </row>
    <row r="4" spans="1:4" x14ac:dyDescent="0.25">
      <c r="B4" s="53" t="s">
        <v>48</v>
      </c>
      <c r="C4" s="86">
        <f>Scorecard!C9</f>
        <v>0.3</v>
      </c>
      <c r="D4" s="86">
        <f>Scorecard!E9</f>
        <v>0.20400000000000001</v>
      </c>
    </row>
    <row r="5" spans="1:4" x14ac:dyDescent="0.25">
      <c r="B5" s="53" t="s">
        <v>49</v>
      </c>
      <c r="C5" s="86">
        <f>Scorecard!C17</f>
        <v>0.25</v>
      </c>
      <c r="D5" s="86">
        <f>Scorecard!E17</f>
        <v>0.17</v>
      </c>
    </row>
    <row r="6" spans="1:4" x14ac:dyDescent="0.25">
      <c r="B6" s="53" t="s">
        <v>50</v>
      </c>
      <c r="C6" s="86">
        <f>Scorecard!C24</f>
        <v>0.19999999999999998</v>
      </c>
      <c r="D6" s="86">
        <f>Scorecard!E24</f>
        <v>0.11999999999999998</v>
      </c>
    </row>
    <row r="7" spans="1:4" x14ac:dyDescent="0.25">
      <c r="B7" s="53" t="s">
        <v>97</v>
      </c>
      <c r="C7" s="86">
        <f>Scorecard!C30</f>
        <v>0.15</v>
      </c>
      <c r="D7" s="86">
        <f>Scorecard!E30</f>
        <v>0.15</v>
      </c>
    </row>
    <row r="8" spans="1:4" x14ac:dyDescent="0.25">
      <c r="B8" s="53" t="s">
        <v>51</v>
      </c>
      <c r="C8" s="86">
        <f>Scorecard!C35</f>
        <v>0.1</v>
      </c>
      <c r="D8" s="86">
        <f>Scorecard!E35</f>
        <v>0.1</v>
      </c>
    </row>
    <row r="9" spans="1:4" x14ac:dyDescent="0.25">
      <c r="B9" s="87" t="s">
        <v>100</v>
      </c>
      <c r="C9" s="88">
        <f>SUM(C4:C8)</f>
        <v>1</v>
      </c>
      <c r="D9" s="88">
        <f>SUM(D4:D8)</f>
        <v>0.74399999999999999</v>
      </c>
    </row>
    <row r="12" spans="1:4" x14ac:dyDescent="0.25">
      <c r="B12" s="53" t="s">
        <v>91</v>
      </c>
      <c r="C12" s="89">
        <f>Financials!E74</f>
        <v>0.43345560399223865</v>
      </c>
      <c r="D12" s="90" t="str">
        <f>IF(C12&gt;=50%,"Exceeded Limit","Within Limit")</f>
        <v>Within Limit</v>
      </c>
    </row>
    <row r="13" spans="1:4" x14ac:dyDescent="0.25">
      <c r="B13" s="53" t="s">
        <v>37</v>
      </c>
      <c r="C13" s="52">
        <f>IFERROR(Financials!$E$30,"")</f>
        <v>1550</v>
      </c>
      <c r="D13" s="42" t="str">
        <f>IF(C13&gt;0,"Profitable","Not Profitable")</f>
        <v>Profitable</v>
      </c>
    </row>
    <row r="14" spans="1:4" x14ac:dyDescent="0.25">
      <c r="B14" s="53" t="s">
        <v>120</v>
      </c>
      <c r="C14" s="52" t="str">
        <f>IF(Financials!$E$70&gt;0,"Positive","Negative")</f>
        <v>Positive</v>
      </c>
      <c r="D14" s="42"/>
    </row>
    <row r="15" spans="1:4" x14ac:dyDescent="0.25">
      <c r="B15" s="53" t="s">
        <v>154</v>
      </c>
      <c r="C15" s="52" t="str">
        <f>IF(Assesment!C6="Yes","Recommend Rejection","Not Listed")</f>
        <v>Not Listed</v>
      </c>
      <c r="D15" s="42"/>
    </row>
    <row r="17" spans="2:7" x14ac:dyDescent="0.25">
      <c r="B17" s="83" t="s">
        <v>103</v>
      </c>
    </row>
    <row r="18" spans="2:7" x14ac:dyDescent="0.25">
      <c r="B18" s="152" t="s">
        <v>206</v>
      </c>
      <c r="C18" s="152"/>
      <c r="D18" s="152"/>
      <c r="E18" s="152"/>
      <c r="F18" s="152"/>
      <c r="G18" s="152"/>
    </row>
    <row r="19" spans="2:7" x14ac:dyDescent="0.25">
      <c r="B19" s="152"/>
      <c r="C19" s="152"/>
      <c r="D19" s="152"/>
      <c r="E19" s="152"/>
      <c r="F19" s="152"/>
      <c r="G19" s="152"/>
    </row>
    <row r="21" spans="2:7" x14ac:dyDescent="0.25">
      <c r="B21" s="84" t="s">
        <v>104</v>
      </c>
    </row>
    <row r="22" spans="2:7" x14ac:dyDescent="0.25">
      <c r="B22" s="152" t="s">
        <v>205</v>
      </c>
      <c r="C22" s="152"/>
      <c r="D22" s="152"/>
      <c r="E22" s="152"/>
      <c r="F22" s="152"/>
      <c r="G22" s="152"/>
    </row>
    <row r="25" spans="2:7" x14ac:dyDescent="0.25">
      <c r="B25" s="83" t="s">
        <v>124</v>
      </c>
    </row>
    <row r="26" spans="2:7" x14ac:dyDescent="0.25">
      <c r="B26" s="73" t="s">
        <v>219</v>
      </c>
      <c r="C26" s="74"/>
      <c r="D26" s="74"/>
      <c r="E26" s="74"/>
      <c r="F26" s="74"/>
      <c r="G26" s="75"/>
    </row>
    <row r="27" spans="2:7" x14ac:dyDescent="0.25">
      <c r="B27" s="76" t="s">
        <v>241</v>
      </c>
      <c r="C27" s="77"/>
      <c r="D27" s="77"/>
      <c r="E27" s="77"/>
      <c r="F27" s="77"/>
      <c r="G27" s="78"/>
    </row>
    <row r="28" spans="2:7" x14ac:dyDescent="0.25">
      <c r="B28" s="76" t="s">
        <v>207</v>
      </c>
      <c r="C28" s="77"/>
      <c r="D28" s="77"/>
      <c r="E28" s="77"/>
      <c r="F28" s="77"/>
      <c r="G28" s="78"/>
    </row>
    <row r="29" spans="2:7" x14ac:dyDescent="0.25">
      <c r="B29" s="76" t="s">
        <v>242</v>
      </c>
      <c r="C29" s="77"/>
      <c r="D29" s="77"/>
      <c r="E29" s="77"/>
      <c r="F29" s="77"/>
      <c r="G29" s="78"/>
    </row>
    <row r="30" spans="2:7" x14ac:dyDescent="0.25">
      <c r="B30" s="76" t="s">
        <v>208</v>
      </c>
      <c r="C30" s="77"/>
      <c r="D30" s="77"/>
      <c r="E30" s="77"/>
      <c r="F30" s="77"/>
      <c r="G30" s="78"/>
    </row>
    <row r="31" spans="2:7" x14ac:dyDescent="0.25">
      <c r="B31" s="79" t="s">
        <v>244</v>
      </c>
      <c r="C31" s="80"/>
      <c r="D31" s="80"/>
      <c r="E31" s="80"/>
      <c r="F31" s="80"/>
      <c r="G31" s="81"/>
    </row>
    <row r="33" spans="2:7" x14ac:dyDescent="0.25">
      <c r="B33" s="83" t="s">
        <v>125</v>
      </c>
    </row>
    <row r="34" spans="2:7" x14ac:dyDescent="0.25">
      <c r="B34" s="77" t="s">
        <v>168</v>
      </c>
      <c r="C34" s="77"/>
      <c r="D34" s="77" t="s">
        <v>195</v>
      </c>
      <c r="E34" s="77"/>
      <c r="F34" s="77"/>
      <c r="G34" s="77" t="s">
        <v>171</v>
      </c>
    </row>
    <row r="35" spans="2:7" x14ac:dyDescent="0.25">
      <c r="B35" s="77"/>
      <c r="C35" s="77"/>
      <c r="D35" s="77"/>
      <c r="E35" s="77"/>
      <c r="F35" s="77"/>
      <c r="G35" s="77"/>
    </row>
    <row r="36" spans="2:7" x14ac:dyDescent="0.25">
      <c r="B36" s="77" t="s">
        <v>170</v>
      </c>
      <c r="C36" s="77"/>
      <c r="D36" s="77" t="s">
        <v>170</v>
      </c>
      <c r="E36" s="77"/>
      <c r="F36" s="77"/>
      <c r="G36" s="77" t="s">
        <v>170</v>
      </c>
    </row>
    <row r="37" spans="2:7" x14ac:dyDescent="0.25">
      <c r="B37" s="77"/>
      <c r="C37" s="77"/>
      <c r="D37" s="77"/>
      <c r="E37" s="77"/>
      <c r="F37" s="77"/>
      <c r="G37" s="77"/>
    </row>
    <row r="38" spans="2:7" x14ac:dyDescent="0.25">
      <c r="B38" s="85" t="s">
        <v>169</v>
      </c>
      <c r="C38" s="77"/>
      <c r="D38" s="85" t="s">
        <v>169</v>
      </c>
      <c r="E38" s="77"/>
      <c r="F38" s="77"/>
      <c r="G38" s="85" t="s">
        <v>169</v>
      </c>
    </row>
    <row r="39" spans="2:7" x14ac:dyDescent="0.25">
      <c r="B39" s="77"/>
      <c r="C39" s="77"/>
      <c r="D39" s="77"/>
      <c r="E39" s="77"/>
      <c r="F39" s="77"/>
      <c r="G39" s="77"/>
    </row>
    <row r="40" spans="2:7" x14ac:dyDescent="0.25">
      <c r="B40" s="5" t="s">
        <v>170</v>
      </c>
      <c r="D40" s="5" t="s">
        <v>170</v>
      </c>
      <c r="G40" s="5" t="s">
        <v>170</v>
      </c>
    </row>
  </sheetData>
  <sheetProtection algorithmName="SHA-512" hashValue="sauwsPXVRo31sODf86EguxJxKooobwbkDz/St9NL5KLufwH1SwkwUXrrXR69JTuPBj4xvj07KNv7EfVP4loQjg==" saltValue="IyC1nVhcCfq7PixqcvBeaA==" spinCount="100000" sheet="1" objects="1" scenarios="1" formatColumns="0" formatRows="0"/>
  <mergeCells count="3">
    <mergeCell ref="B22:G22"/>
    <mergeCell ref="B18:G18"/>
    <mergeCell ref="B19:G19"/>
  </mergeCells>
  <conditionalFormatting sqref="D9">
    <cfRule type="expression" dxfId="1" priority="1">
      <formula>$D$9&gt;50%</formula>
    </cfRule>
    <cfRule type="expression" dxfId="0" priority="2">
      <formula>$D$9&lt;50%</formula>
    </cfRule>
  </conditionalFormatting>
  <pageMargins left="0.7" right="0.7" top="0.75" bottom="0.75" header="0.3" footer="0.3"/>
  <pageSetup scale="89" orientation="portrait" r:id="rId1"/>
  <headerFooter>
    <oddHeader>&amp;CAPPRAISAL RESULT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Cover Page</vt:lpstr>
      <vt:lpstr>Promoter Details</vt:lpstr>
      <vt:lpstr>Assesment</vt:lpstr>
      <vt:lpstr>Financials</vt:lpstr>
      <vt:lpstr>Scorecard</vt:lpstr>
      <vt:lpstr>Result</vt:lpstr>
      <vt:lpstr>Assesment!Print_Area</vt:lpstr>
      <vt:lpstr>Financials!Print_Area</vt:lpstr>
      <vt:lpstr>'Promoter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Refilwe Malope</dc:creator>
  <cp:lastModifiedBy>Maungo Manyelesemane</cp:lastModifiedBy>
  <cp:lastPrinted>2018-08-13T05:34:48Z</cp:lastPrinted>
  <dcterms:created xsi:type="dcterms:W3CDTF">2016-02-29T06:27:16Z</dcterms:created>
  <dcterms:modified xsi:type="dcterms:W3CDTF">2020-11-05T15:01:41Z</dcterms:modified>
</cp:coreProperties>
</file>